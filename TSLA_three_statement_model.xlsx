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fbb6f29d0ecbb2/Desktop/financial_modeling/"/>
    </mc:Choice>
  </mc:AlternateContent>
  <xr:revisionPtr revIDLastSave="10" documentId="11_28436E3FC9E0FE0AE0D2A70B18B5D8AECC798252" xr6:coauthVersionLast="47" xr6:coauthVersionMax="47" xr10:uidLastSave="{32B1B8C0-D0E0-4D55-835C-2EE2EFEB9F12}"/>
  <bookViews>
    <workbookView xWindow="-108" yWindow="-108" windowWidth="30936" windowHeight="16776" activeTab="1" xr2:uid="{00000000-000D-0000-FFFF-FFFF00000000}"/>
  </bookViews>
  <sheets>
    <sheet name="Cover Page" sheetId="1" r:id="rId1"/>
    <sheet name="Three Statement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0" i="2" l="1"/>
  <c r="K230" i="2"/>
  <c r="J230" i="2"/>
  <c r="I230" i="2"/>
  <c r="H230" i="2"/>
  <c r="H229" i="2"/>
  <c r="H231" i="2" s="1"/>
  <c r="H225" i="2"/>
  <c r="H59" i="2" s="1"/>
  <c r="L224" i="2"/>
  <c r="K224" i="2"/>
  <c r="J224" i="2"/>
  <c r="I224" i="2"/>
  <c r="H224" i="2"/>
  <c r="H226" i="2" s="1"/>
  <c r="H223" i="2"/>
  <c r="H213" i="2"/>
  <c r="G213" i="2"/>
  <c r="F213" i="2"/>
  <c r="E213" i="2"/>
  <c r="L206" i="2"/>
  <c r="K206" i="2"/>
  <c r="K198" i="2" s="1"/>
  <c r="J206" i="2"/>
  <c r="I206" i="2"/>
  <c r="H206" i="2"/>
  <c r="L200" i="2"/>
  <c r="L198" i="2" s="1"/>
  <c r="K200" i="2"/>
  <c r="J200" i="2"/>
  <c r="J198" i="2" s="1"/>
  <c r="I200" i="2"/>
  <c r="I198" i="2" s="1"/>
  <c r="H200" i="2"/>
  <c r="H198" i="2" s="1"/>
  <c r="L185" i="2"/>
  <c r="L183" i="2" s="1"/>
  <c r="K185" i="2"/>
  <c r="J185" i="2"/>
  <c r="I185" i="2"/>
  <c r="H185" i="2"/>
  <c r="K183" i="2"/>
  <c r="J183" i="2"/>
  <c r="I183" i="2"/>
  <c r="H183" i="2"/>
  <c r="L153" i="2"/>
  <c r="L3" i="2" s="1"/>
  <c r="K153" i="2"/>
  <c r="K3" i="2" s="1"/>
  <c r="J153" i="2"/>
  <c r="J3" i="2" s="1"/>
  <c r="I153" i="2"/>
  <c r="I3" i="2" s="1"/>
  <c r="H153" i="2"/>
  <c r="H3" i="2" s="1"/>
  <c r="G153" i="2"/>
  <c r="F153" i="2"/>
  <c r="E153" i="2"/>
  <c r="D153" i="2"/>
  <c r="H27" i="2"/>
  <c r="H84" i="2" s="1"/>
  <c r="H25" i="2"/>
  <c r="I25" i="2" s="1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G3" i="2"/>
  <c r="F3" i="2"/>
  <c r="E3" i="2"/>
  <c r="D3" i="2"/>
  <c r="J25" i="2" l="1"/>
  <c r="I83" i="2"/>
  <c r="I27" i="2"/>
  <c r="I30" i="2"/>
  <c r="I31" i="2"/>
  <c r="I28" i="2"/>
  <c r="I223" i="2"/>
  <c r="H91" i="2"/>
  <c r="H232" i="2"/>
  <c r="H37" i="2" s="1"/>
  <c r="I229" i="2"/>
  <c r="H143" i="2"/>
  <c r="H108" i="2"/>
  <c r="H28" i="2"/>
  <c r="H161" i="2"/>
  <c r="H30" i="2"/>
  <c r="H31" i="2"/>
  <c r="H83" i="2"/>
  <c r="H33" i="2" l="1"/>
  <c r="H43" i="2" s="1"/>
  <c r="I232" i="2"/>
  <c r="I37" i="2" s="1"/>
  <c r="I231" i="2"/>
  <c r="I225" i="2"/>
  <c r="I84" i="2"/>
  <c r="I108" i="2"/>
  <c r="K25" i="2"/>
  <c r="J83" i="2"/>
  <c r="J31" i="2"/>
  <c r="J30" i="2"/>
  <c r="J27" i="2"/>
  <c r="J28" i="2" s="1"/>
  <c r="J84" i="2" l="1"/>
  <c r="J108" i="2"/>
  <c r="L25" i="2"/>
  <c r="K83" i="2"/>
  <c r="K31" i="2"/>
  <c r="K30" i="2"/>
  <c r="K27" i="2"/>
  <c r="I161" i="2"/>
  <c r="I59" i="2"/>
  <c r="I33" i="2" s="1"/>
  <c r="I43" i="2" s="1"/>
  <c r="I226" i="2"/>
  <c r="J229" i="2"/>
  <c r="I143" i="2"/>
  <c r="H44" i="2"/>
  <c r="H48" i="2" s="1"/>
  <c r="H160" i="2" l="1"/>
  <c r="H158" i="2" s="1"/>
  <c r="H139" i="2"/>
  <c r="I44" i="2"/>
  <c r="I48" i="2"/>
  <c r="I160" i="2" s="1"/>
  <c r="I158" i="2" s="1"/>
  <c r="J232" i="2"/>
  <c r="J37" i="2" s="1"/>
  <c r="J231" i="2"/>
  <c r="J223" i="2"/>
  <c r="I91" i="2"/>
  <c r="K84" i="2"/>
  <c r="K108" i="2"/>
  <c r="K28" i="2"/>
  <c r="L83" i="2"/>
  <c r="L27" i="2"/>
  <c r="L31" i="2"/>
  <c r="L30" i="2"/>
  <c r="L28" i="2"/>
  <c r="L108" i="2" l="1"/>
  <c r="L84" i="2"/>
  <c r="I215" i="2"/>
  <c r="I211" i="2"/>
  <c r="I139" i="2"/>
  <c r="J225" i="2"/>
  <c r="J226" i="2" s="1"/>
  <c r="K229" i="2"/>
  <c r="J143" i="2"/>
  <c r="H215" i="2"/>
  <c r="H211" i="2"/>
  <c r="H214" i="2" s="1"/>
  <c r="J91" i="2" l="1"/>
  <c r="K223" i="2"/>
  <c r="K232" i="2"/>
  <c r="K37" i="2" s="1"/>
  <c r="K231" i="2"/>
  <c r="H77" i="2"/>
  <c r="I213" i="2"/>
  <c r="I214" i="2" s="1"/>
  <c r="J161" i="2"/>
  <c r="J59" i="2"/>
  <c r="J33" i="2" s="1"/>
  <c r="J43" i="2" s="1"/>
  <c r="J44" i="2" l="1"/>
  <c r="J48" i="2"/>
  <c r="L229" i="2"/>
  <c r="K143" i="2"/>
  <c r="I77" i="2"/>
  <c r="J213" i="2"/>
  <c r="K225" i="2"/>
  <c r="K59" i="2" l="1"/>
  <c r="K33" i="2" s="1"/>
  <c r="K43" i="2" s="1"/>
  <c r="K161" i="2"/>
  <c r="K226" i="2"/>
  <c r="L231" i="2"/>
  <c r="L143" i="2" s="1"/>
  <c r="J160" i="2"/>
  <c r="J158" i="2" s="1"/>
  <c r="J139" i="2"/>
  <c r="J215" i="2" l="1"/>
  <c r="J211" i="2"/>
  <c r="J214" i="2" s="1"/>
  <c r="L232" i="2"/>
  <c r="L37" i="2" s="1"/>
  <c r="K91" i="2"/>
  <c r="L223" i="2"/>
  <c r="K44" i="2"/>
  <c r="K48" i="2" s="1"/>
  <c r="K160" i="2" l="1"/>
  <c r="K158" i="2" s="1"/>
  <c r="K139" i="2"/>
  <c r="L225" i="2"/>
  <c r="L226" i="2" s="1"/>
  <c r="L91" i="2" s="1"/>
  <c r="J77" i="2"/>
  <c r="K213" i="2"/>
  <c r="L59" i="2" l="1"/>
  <c r="L33" i="2" s="1"/>
  <c r="L43" i="2" s="1"/>
  <c r="L161" i="2"/>
  <c r="K215" i="2"/>
  <c r="K211" i="2"/>
  <c r="K214" i="2" s="1"/>
  <c r="K77" i="2" l="1"/>
  <c r="L213" i="2"/>
  <c r="L44" i="2"/>
  <c r="L48" i="2" s="1"/>
  <c r="L160" i="2" l="1"/>
  <c r="L158" i="2" s="1"/>
  <c r="L139" i="2"/>
  <c r="L215" i="2" l="1"/>
  <c r="L211" i="2"/>
  <c r="L214" i="2" s="1"/>
  <c r="L77" i="2" s="1"/>
</calcChain>
</file>

<file path=xl/sharedStrings.xml><?xml version="1.0" encoding="utf-8"?>
<sst xmlns="http://schemas.openxmlformats.org/spreadsheetml/2006/main" count="219" uniqueCount="218">
  <si>
    <t>3-Statement Model</t>
  </si>
  <si>
    <t>Strictly Confidential</t>
  </si>
  <si>
    <t>Company: Tesla, Inc.</t>
  </si>
  <si>
    <t>Ticker: TSLA</t>
  </si>
  <si>
    <t>Historical Results</t>
  </si>
  <si>
    <t>Forecast Period</t>
  </si>
  <si>
    <t>Assumptions</t>
  </si>
  <si>
    <t>Key Assumptions</t>
  </si>
  <si>
    <t>Revenue Growth (% Change)</t>
  </si>
  <si>
    <t>Cost of Goods Sold (% of Revenue)</t>
  </si>
  <si>
    <t>Selling General &amp; Admin (% of Revenue)</t>
  </si>
  <si>
    <t>Research &amp; Development (% of Revenue)</t>
  </si>
  <si>
    <t>Depreciation &amp; Amortization (% of PP&amp;E)</t>
  </si>
  <si>
    <t>Interest (% of Debt)</t>
  </si>
  <si>
    <t>Tax Rate (% of Pretax Income)</t>
  </si>
  <si>
    <t>Accounts Receivable (Days)</t>
  </si>
  <si>
    <t>Inventory (Days)</t>
  </si>
  <si>
    <t>Accounts Payable (Days)</t>
  </si>
  <si>
    <t>Capital Expenditures</t>
  </si>
  <si>
    <t>Net Debt Issuance / (Repayment)</t>
  </si>
  <si>
    <t>Net Equity Issuance / (Repurchase)</t>
  </si>
  <si>
    <t>Income Statement</t>
  </si>
  <si>
    <t>Total Revenue</t>
  </si>
  <si>
    <t xml:space="preserve">  Operating Revenue</t>
  </si>
  <si>
    <t>Cost Of Revenue</t>
  </si>
  <si>
    <t>Gross Profit</t>
  </si>
  <si>
    <t>Operating Expense</t>
  </si>
  <si>
    <t xml:space="preserve">  Selling General And Administration</t>
  </si>
  <si>
    <t xml:space="preserve">  Research And Development</t>
  </si>
  <si>
    <t xml:space="preserve">  Restructuring And Mergern Acquisition</t>
  </si>
  <si>
    <t>Operating Income</t>
  </si>
  <si>
    <t>Net Non Operating Interest Income Expense</t>
  </si>
  <si>
    <t xml:space="preserve">  Interest Income Non Operating</t>
  </si>
  <si>
    <t xml:space="preserve">  Interest Expense Non Operating</t>
  </si>
  <si>
    <t xml:space="preserve">  Interest Expense</t>
  </si>
  <si>
    <t xml:space="preserve">  Interest Income</t>
  </si>
  <si>
    <t xml:space="preserve">  Net Interest Income</t>
  </si>
  <si>
    <t>Other Income Expense</t>
  </si>
  <si>
    <t xml:space="preserve">  Special Income Charges</t>
  </si>
  <si>
    <t xml:space="preserve">  Other Non Operating Income Expenses</t>
  </si>
  <si>
    <t>Pretax Income</t>
  </si>
  <si>
    <t>Tax Provision</t>
  </si>
  <si>
    <t xml:space="preserve">  Minority Interests</t>
  </si>
  <si>
    <t>Net Income Continuous Operations</t>
  </si>
  <si>
    <t>Net Income Including Noncontrolling Interests</t>
  </si>
  <si>
    <t>Net Income</t>
  </si>
  <si>
    <t>Net Income Common Stockholders</t>
  </si>
  <si>
    <t>Basic EPS</t>
  </si>
  <si>
    <t>Diluted EPS</t>
  </si>
  <si>
    <t>Basic Average Shares</t>
  </si>
  <si>
    <t>Diluted Average Shares</t>
  </si>
  <si>
    <t>EBITDA</t>
  </si>
  <si>
    <t>EBIT</t>
  </si>
  <si>
    <t>Normalized EBITDA</t>
  </si>
  <si>
    <t>Normalized Income</t>
  </si>
  <si>
    <t>Reconciled Cost Of Revenue</t>
  </si>
  <si>
    <t>Reconciled Depreciation</t>
  </si>
  <si>
    <t>Total Expenses</t>
  </si>
  <si>
    <t>Total Operating Income As Reported</t>
  </si>
  <si>
    <t>Total Unusual Items</t>
  </si>
  <si>
    <t>Total Unusual Items Excluding Goodwill</t>
  </si>
  <si>
    <t>Tax Effect Of Unusual Items</t>
  </si>
  <si>
    <t>Tax Rate For Calcs</t>
  </si>
  <si>
    <t>Net Income From Continuing Operation Net Minority Interest</t>
  </si>
  <si>
    <t>Net Income From Continuing And Discontinued Operation</t>
  </si>
  <si>
    <t>Diluted NI Availto Com Stockholders</t>
  </si>
  <si>
    <t>Average Dilution Earnings</t>
  </si>
  <si>
    <t xml:space="preserve">  Rent Expense Supplemental</t>
  </si>
  <si>
    <t>Balance Sheet</t>
  </si>
  <si>
    <t>Total Assets</t>
  </si>
  <si>
    <t>Current Assets</t>
  </si>
  <si>
    <t xml:space="preserve">  Cash And Cash Equivalents</t>
  </si>
  <si>
    <t xml:space="preserve">    Cash Equivalents</t>
  </si>
  <si>
    <t xml:space="preserve">    Cash Financial</t>
  </si>
  <si>
    <t xml:space="preserve">  Cash Cash Equivalents And Short Term Investments</t>
  </si>
  <si>
    <t xml:space="preserve">    Other Short Term Investments</t>
  </si>
  <si>
    <t xml:space="preserve">  Receivables</t>
  </si>
  <si>
    <t xml:space="preserve">    Accounts Receivable</t>
  </si>
  <si>
    <t xml:space="preserve">  Inventory</t>
  </si>
  <si>
    <t xml:space="preserve">    Raw Materials</t>
  </si>
  <si>
    <t xml:space="preserve">    Work In Process</t>
  </si>
  <si>
    <t xml:space="preserve">    Finished Goods</t>
  </si>
  <si>
    <t xml:space="preserve">    Other Inventories</t>
  </si>
  <si>
    <t xml:space="preserve">  Other Current Assets</t>
  </si>
  <si>
    <t>Total Non Current Assets</t>
  </si>
  <si>
    <t xml:space="preserve">  Net PPE</t>
  </si>
  <si>
    <t xml:space="preserve">    Gross PPE</t>
  </si>
  <si>
    <t xml:space="preserve">    Land And Improvements</t>
  </si>
  <si>
    <t xml:space="preserve">    Machinery Furniture Equipment</t>
  </si>
  <si>
    <t xml:space="preserve">    Other Properties</t>
  </si>
  <si>
    <t xml:space="preserve">    Properties</t>
  </si>
  <si>
    <t xml:space="preserve">    Construction In Progress</t>
  </si>
  <si>
    <t xml:space="preserve">    Leases</t>
  </si>
  <si>
    <t xml:space="preserve">    Accumulated Depreciation</t>
  </si>
  <si>
    <t xml:space="preserve">  Goodwill And Other Intangible Assets</t>
  </si>
  <si>
    <t xml:space="preserve">    Goodwill</t>
  </si>
  <si>
    <t xml:space="preserve">    Other Intangible Assets</t>
  </si>
  <si>
    <t xml:space="preserve">  Non Current Deferred Assets</t>
  </si>
  <si>
    <t xml:space="preserve">    Non Current Deferred Taxes Assets</t>
  </si>
  <si>
    <t xml:space="preserve">  Other Non Current Assets</t>
  </si>
  <si>
    <t>Total Liabilities Net Minority Interest</t>
  </si>
  <si>
    <t>Current Liabilities</t>
  </si>
  <si>
    <t xml:space="preserve">  Accounts Payable</t>
  </si>
  <si>
    <t xml:space="preserve">  Payables And Accrued Expenses</t>
  </si>
  <si>
    <t xml:space="preserve">    Payables</t>
  </si>
  <si>
    <t xml:space="preserve">    Current Accrued Expenses</t>
  </si>
  <si>
    <t xml:space="preserve">    Total Tax Payable</t>
  </si>
  <si>
    <t xml:space="preserve">  Current Debt And Capital Lease Obligation</t>
  </si>
  <si>
    <t xml:space="preserve">    Current Debt</t>
  </si>
  <si>
    <t xml:space="preserve">    Other Current Borrowings</t>
  </si>
  <si>
    <t xml:space="preserve">    Line Of Credit</t>
  </si>
  <si>
    <t xml:space="preserve">    Current Capital Lease Obligation</t>
  </si>
  <si>
    <t xml:space="preserve">  Current Deferred Liabilities</t>
  </si>
  <si>
    <t xml:space="preserve">    Current Deferred Revenue</t>
  </si>
  <si>
    <t xml:space="preserve">  Current Provisions</t>
  </si>
  <si>
    <t xml:space="preserve">  Other Current Liabilities</t>
  </si>
  <si>
    <t>Total Non Current Liabilities Net Minority Interest</t>
  </si>
  <si>
    <t xml:space="preserve">  Long Term Debt And Capital Lease Obligation</t>
  </si>
  <si>
    <t xml:space="preserve">    Long Term Debt</t>
  </si>
  <si>
    <t xml:space="preserve">    Long Term Capital Lease Obligation</t>
  </si>
  <si>
    <t xml:space="preserve">  Long Term Provisions</t>
  </si>
  <si>
    <t xml:space="preserve">  Non Current Deferred Liabilities</t>
  </si>
  <si>
    <t xml:space="preserve">    Non Current Deferred Taxes Liabilities</t>
  </si>
  <si>
    <t xml:space="preserve">    Non Current Deferred Revenue</t>
  </si>
  <si>
    <t xml:space="preserve">  Non Current Accrued Expenses</t>
  </si>
  <si>
    <t xml:space="preserve">  Other Non Current Liabilities</t>
  </si>
  <si>
    <t>Total Equity Gross Minority Interest</t>
  </si>
  <si>
    <t>Stockholders Equity</t>
  </si>
  <si>
    <t xml:space="preserve">  Common Stock Equity</t>
  </si>
  <si>
    <t xml:space="preserve">    Capital Stock</t>
  </si>
  <si>
    <t xml:space="preserve">    Common Stock</t>
  </si>
  <si>
    <t xml:space="preserve">    Preferred Stock</t>
  </si>
  <si>
    <t xml:space="preserve">    Additional Paid In Capital</t>
  </si>
  <si>
    <t xml:space="preserve">    Retained Earnings</t>
  </si>
  <si>
    <t xml:space="preserve">    Gains Losses Not Affecting Retained Earnings</t>
  </si>
  <si>
    <t xml:space="preserve">    Other Equity Adjustments</t>
  </si>
  <si>
    <t xml:space="preserve">  Minority Interest</t>
  </si>
  <si>
    <t>Total Debt</t>
  </si>
  <si>
    <t>Total Capitalization</t>
  </si>
  <si>
    <t>Invested Capital</t>
  </si>
  <si>
    <t>Tangible Book Value</t>
  </si>
  <si>
    <t>Net Tangible Assets</t>
  </si>
  <si>
    <t>Working Capital</t>
  </si>
  <si>
    <t>Ordinary Shares Number</t>
  </si>
  <si>
    <t>Share Issued</t>
  </si>
  <si>
    <t>Treasury Shares Number</t>
  </si>
  <si>
    <t>Check</t>
  </si>
  <si>
    <t>Cash Flow Statement</t>
  </si>
  <si>
    <t>Operating Cash Flow</t>
  </si>
  <si>
    <t xml:space="preserve">  Cash Flow From Continuing Operating Activities</t>
  </si>
  <si>
    <t xml:space="preserve">  Net Income From Continuing Operations</t>
  </si>
  <si>
    <t xml:space="preserve">  Depreciation And Amortization</t>
  </si>
  <si>
    <t xml:space="preserve">    Depreciation Amortization Depletion</t>
  </si>
  <si>
    <t xml:space="preserve">    Depreciation</t>
  </si>
  <si>
    <t xml:space="preserve">  Deferred Tax</t>
  </si>
  <si>
    <t xml:space="preserve">    Deferred Income Tax</t>
  </si>
  <si>
    <t xml:space="preserve">  Stock Based Compensation</t>
  </si>
  <si>
    <t xml:space="preserve">  Other Non Cash Items</t>
  </si>
  <si>
    <t xml:space="preserve">  Operating Gains Losses</t>
  </si>
  <si>
    <t xml:space="preserve">  Asset Impairment Charge</t>
  </si>
  <si>
    <t xml:space="preserve">  Gain Loss On Sale Of PPE</t>
  </si>
  <si>
    <t xml:space="preserve">  Net Foreign Currency Exchange Gain Loss</t>
  </si>
  <si>
    <t xml:space="preserve">  Change In Working Capital</t>
  </si>
  <si>
    <t xml:space="preserve">    Change In Receivables</t>
  </si>
  <si>
    <t xml:space="preserve">    Changes In Account Receivables</t>
  </si>
  <si>
    <t xml:space="preserve">    Change In Inventory</t>
  </si>
  <si>
    <t xml:space="preserve">    Change In Payables And Accrued Expense</t>
  </si>
  <si>
    <t xml:space="preserve">    Change In Payable</t>
  </si>
  <si>
    <t xml:space="preserve">    Change In Account Payable</t>
  </si>
  <si>
    <t xml:space="preserve">    Change In Other Working Capital</t>
  </si>
  <si>
    <t xml:space="preserve">    Change In Other Current Assets</t>
  </si>
  <si>
    <t xml:space="preserve">    Change In Other Current Liabilities</t>
  </si>
  <si>
    <t xml:space="preserve">    Change In Prepaid Assets</t>
  </si>
  <si>
    <t>Investing Cash Flow</t>
  </si>
  <si>
    <t xml:space="preserve">  Cash Flow From Continuing Investing Activities</t>
  </si>
  <si>
    <t xml:space="preserve">  Capital Expenditure</t>
  </si>
  <si>
    <t xml:space="preserve">  Net PPE Purchase And Sale</t>
  </si>
  <si>
    <t xml:space="preserve">    Purchase Of PPE</t>
  </si>
  <si>
    <t xml:space="preserve">  Net Business Purchase And Sale</t>
  </si>
  <si>
    <t xml:space="preserve">    Purchase Of Business</t>
  </si>
  <si>
    <t xml:space="preserve">    Sale Of Business</t>
  </si>
  <si>
    <t xml:space="preserve">  Net Investment Purchase And Sale</t>
  </si>
  <si>
    <t xml:space="preserve">    Purchase Of Investment</t>
  </si>
  <si>
    <t xml:space="preserve">    Sale Of Investment</t>
  </si>
  <si>
    <t xml:space="preserve">  Net Intangibles Purchase And Sale</t>
  </si>
  <si>
    <t xml:space="preserve">    Purchase Of Intangibles</t>
  </si>
  <si>
    <t xml:space="preserve">    Sale Of Intangibles</t>
  </si>
  <si>
    <t xml:space="preserve">  Net Other Investing Changes</t>
  </si>
  <si>
    <t>Financing Cash Flow</t>
  </si>
  <si>
    <t xml:space="preserve">  Cash Flow From Continuing Financing Activities</t>
  </si>
  <si>
    <t xml:space="preserve">  Net Issuance Payments Of Debt</t>
  </si>
  <si>
    <t xml:space="preserve">    Net Long Term Debt Issuance</t>
  </si>
  <si>
    <t xml:space="preserve">    Long Term Debt Issuance</t>
  </si>
  <si>
    <t xml:space="preserve">    Long Term Debt Payments</t>
  </si>
  <si>
    <t xml:space="preserve">    Issuance Of Debt</t>
  </si>
  <si>
    <t xml:space="preserve">    Repayment Of Debt</t>
  </si>
  <si>
    <t xml:space="preserve">  Net Common Stock Issuance</t>
  </si>
  <si>
    <t xml:space="preserve">    Common Stock Issuance</t>
  </si>
  <si>
    <t xml:space="preserve">    Proceeds From Stock Option Exercised</t>
  </si>
  <si>
    <t xml:space="preserve">    Issuance Of Capital Stock</t>
  </si>
  <si>
    <t xml:space="preserve">  Net Other Financing Charges</t>
  </si>
  <si>
    <t>Changes In Cash</t>
  </si>
  <si>
    <t xml:space="preserve">  Effect Of Exchange Rate Changes</t>
  </si>
  <si>
    <t>Beginning Cash Position</t>
  </si>
  <si>
    <t>End Cash Position</t>
  </si>
  <si>
    <t>Free Cash Flow</t>
  </si>
  <si>
    <t>Interest Paid Supplemental Data</t>
  </si>
  <si>
    <t>Income Tax Paid Supplemental Data</t>
  </si>
  <si>
    <t>Supporting Schedules</t>
  </si>
  <si>
    <t>PP&amp;E Schedule</t>
  </si>
  <si>
    <t xml:space="preserve">  Opening PP&amp;E</t>
  </si>
  <si>
    <t xml:space="preserve">  Capital Expenditures</t>
  </si>
  <si>
    <t xml:space="preserve">  Depreciation &amp; Amortization</t>
  </si>
  <si>
    <t xml:space="preserve">  Closing PP&amp;E</t>
  </si>
  <si>
    <t>Debt Schedule</t>
  </si>
  <si>
    <t xml:space="preserve">  Opening Debt</t>
  </si>
  <si>
    <t xml:space="preserve">  Net Issuance / (Repayment)</t>
  </si>
  <si>
    <t xml:space="preserve">  Closing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</si>
</sst>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新細明體"/>
      <family val="2"/>
      <scheme val="minor"/>
    </font>
    <font>
      <b/>
      <sz val="20"/>
      <color rgb="FF000C3F"/>
      <name val="新細明體"/>
      <family val="1"/>
      <charset val="136"/>
    </font>
    <font>
      <i/>
      <sz val="11"/>
      <color rgb="FF808080"/>
      <name val="新細明體"/>
      <family val="1"/>
      <charset val="136"/>
    </font>
    <font>
      <sz val="14"/>
      <name val="新細明體"/>
      <family val="1"/>
      <charset val="136"/>
    </font>
    <font>
      <b/>
      <sz val="12"/>
      <color rgb="FFFFFFFF"/>
      <name val="Arial Narrow"/>
    </font>
    <font>
      <b/>
      <sz val="14"/>
      <color rgb="FF3271D2"/>
      <name val="Arial Narrow"/>
    </font>
    <font>
      <b/>
      <sz val="12"/>
      <name val="Arial Narrow"/>
    </font>
    <font>
      <sz val="12"/>
      <name val="Arial Narrow"/>
    </font>
    <font>
      <i/>
      <sz val="12"/>
      <name val="Arial Narrow"/>
    </font>
    <font>
      <sz val="9"/>
      <name val="新細明體"/>
      <family val="3"/>
      <charset val="136"/>
      <scheme val="minor"/>
    </font>
    <font>
      <sz val="12"/>
      <name val="Arial Narrow"/>
      <family val="2"/>
    </font>
    <font>
      <b/>
      <sz val="12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rgb="FF0000FF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C3F"/>
      </patternFill>
    </fill>
    <fill>
      <patternFill patternType="solid">
        <fgColor rgb="FFE7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0" fillId="3" borderId="0" xfId="0" applyFill="1"/>
    <xf numFmtId="0" fontId="6" fillId="0" borderId="0" xfId="0" applyFont="1"/>
    <xf numFmtId="0" fontId="7" fillId="0" borderId="0" xfId="0" applyFont="1"/>
    <xf numFmtId="3" fontId="0" fillId="0" borderId="0" xfId="0" applyNumberFormat="1"/>
    <xf numFmtId="3" fontId="10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0" fontId="12" fillId="0" borderId="0" xfId="0" applyFont="1"/>
    <xf numFmtId="3" fontId="13" fillId="0" borderId="0" xfId="0" applyNumberFormat="1" applyFont="1"/>
    <xf numFmtId="10" fontId="12" fillId="0" borderId="0" xfId="0" applyNumberFormat="1" applyFont="1"/>
    <xf numFmtId="10" fontId="14" fillId="0" borderId="0" xfId="0" applyNumberFormat="1" applyFont="1"/>
    <xf numFmtId="176" fontId="12" fillId="0" borderId="0" xfId="0" applyNumberFormat="1" applyFont="1"/>
    <xf numFmtId="176" fontId="14" fillId="0" borderId="0" xfId="0" applyNumberFormat="1" applyFont="1"/>
    <xf numFmtId="3" fontId="1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77C4B5-446B-434B-A58D-38A3E1C548CE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3:G16"/>
  <sheetViews>
    <sheetView workbookViewId="0"/>
  </sheetViews>
  <sheetFormatPr defaultRowHeight="15" x14ac:dyDescent="0.3"/>
  <cols>
    <col min="3" max="3" width="45" customWidth="1"/>
  </cols>
  <sheetData>
    <row r="13" spans="3:7" ht="28.2" x14ac:dyDescent="0.55000000000000004">
      <c r="C13" s="1" t="s">
        <v>0</v>
      </c>
      <c r="G13" s="2" t="s">
        <v>1</v>
      </c>
    </row>
    <row r="15" spans="3:7" ht="19.8" x14ac:dyDescent="0.4">
      <c r="C15" s="3" t="s">
        <v>2</v>
      </c>
    </row>
    <row r="16" spans="3:7" x14ac:dyDescent="0.3">
      <c r="C16" t="s">
        <v>3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2"/>
  <sheetViews>
    <sheetView tabSelected="1" topLeftCell="A35" zoomScale="85" zoomScaleNormal="85" workbookViewId="0">
      <selection activeCell="U21" sqref="U21"/>
    </sheetView>
  </sheetViews>
  <sheetFormatPr defaultRowHeight="15" x14ac:dyDescent="0.3"/>
  <cols>
    <col min="1" max="1" width="44" customWidth="1"/>
    <col min="4" max="12" width="18" customWidth="1"/>
  </cols>
  <sheetData>
    <row r="1" spans="1:12" ht="15.6" x14ac:dyDescent="0.3">
      <c r="D1" s="4" t="s">
        <v>4</v>
      </c>
      <c r="E1" s="5"/>
      <c r="F1" s="5"/>
      <c r="G1" s="5"/>
      <c r="H1" s="4" t="s">
        <v>5</v>
      </c>
      <c r="I1" s="5"/>
      <c r="J1" s="5"/>
      <c r="K1" s="5"/>
      <c r="L1" s="5"/>
    </row>
    <row r="2" spans="1:12" ht="15.6" x14ac:dyDescent="0.3">
      <c r="D2" s="6">
        <v>2022</v>
      </c>
      <c r="E2" s="6">
        <v>2023</v>
      </c>
      <c r="F2" s="6">
        <v>2024</v>
      </c>
      <c r="G2" s="6">
        <v>2025</v>
      </c>
      <c r="H2" s="6">
        <v>2026</v>
      </c>
      <c r="I2" s="6">
        <v>2027</v>
      </c>
      <c r="J2" s="6">
        <v>2028</v>
      </c>
      <c r="K2" s="6">
        <v>2029</v>
      </c>
      <c r="L2" s="6">
        <v>2030</v>
      </c>
    </row>
    <row r="3" spans="1:12" ht="15.6" x14ac:dyDescent="0.3">
      <c r="D3" s="7" t="str">
        <f t="shared" ref="D3:L3" si="0">IFERROR(IF(ABS(D153)&gt;1,"ERROR","OK"),"OK")</f>
        <v>OK</v>
      </c>
      <c r="E3" s="7" t="str">
        <f t="shared" si="0"/>
        <v>OK</v>
      </c>
      <c r="F3" s="7" t="str">
        <f t="shared" si="0"/>
        <v>OK</v>
      </c>
      <c r="G3" s="7" t="str">
        <f t="shared" si="0"/>
        <v>OK</v>
      </c>
      <c r="H3" s="7" t="str">
        <f t="shared" si="0"/>
        <v>OK</v>
      </c>
      <c r="I3" s="7" t="str">
        <f t="shared" si="0"/>
        <v>OK</v>
      </c>
      <c r="J3" s="7" t="str">
        <f t="shared" si="0"/>
        <v>OK</v>
      </c>
      <c r="K3" s="7" t="str">
        <f t="shared" si="0"/>
        <v>OK</v>
      </c>
      <c r="L3" s="7" t="str">
        <f t="shared" si="0"/>
        <v>OK</v>
      </c>
    </row>
    <row r="5" spans="1:12" ht="18" x14ac:dyDescent="0.35">
      <c r="A5" s="8" t="s">
        <v>6</v>
      </c>
      <c r="D5" s="9"/>
      <c r="E5" s="9"/>
      <c r="F5" s="9"/>
      <c r="G5" s="9"/>
      <c r="H5" s="9"/>
      <c r="I5" s="9"/>
      <c r="J5" s="9"/>
      <c r="K5" s="9"/>
      <c r="L5" s="9"/>
    </row>
    <row r="7" spans="1:12" ht="15.6" x14ac:dyDescent="0.3">
      <c r="A7" s="10" t="s">
        <v>7</v>
      </c>
    </row>
    <row r="8" spans="1:12" ht="15.6" x14ac:dyDescent="0.3">
      <c r="A8" s="11" t="s">
        <v>8</v>
      </c>
      <c r="D8" s="16"/>
      <c r="E8" s="18">
        <f>E25/D25-1</f>
        <v>0.18795266504627928</v>
      </c>
      <c r="F8" s="18">
        <f>F25/E25-1</f>
        <v>9.4757835346634955E-3</v>
      </c>
      <c r="G8" s="18">
        <f>G25/F25-1</f>
        <v>-2.9306991503736279E-2</v>
      </c>
      <c r="H8" s="19">
        <v>7.9648199016340529E-2</v>
      </c>
      <c r="I8" s="19">
        <v>7.9648199016340529E-2</v>
      </c>
      <c r="J8" s="19">
        <v>7.9648199016340529E-2</v>
      </c>
      <c r="K8" s="19">
        <v>7.9648199016340529E-2</v>
      </c>
      <c r="L8" s="19">
        <v>7.9648199016340529E-2</v>
      </c>
    </row>
    <row r="9" spans="1:12" ht="15.6" x14ac:dyDescent="0.3">
      <c r="A9" s="11" t="s">
        <v>9</v>
      </c>
      <c r="D9" s="18">
        <f>D27/D25</f>
        <v>0.74401561464240995</v>
      </c>
      <c r="E9" s="18">
        <f>E27/E25</f>
        <v>0.81751108263668582</v>
      </c>
      <c r="F9" s="18">
        <f>F27/F25</f>
        <v>0.82137373323779306</v>
      </c>
      <c r="G9" s="18">
        <f>G27/G25</f>
        <v>0.81973488563383845</v>
      </c>
      <c r="H9" s="19">
        <v>0.80065882903768182</v>
      </c>
      <c r="I9" s="19">
        <v>0.80065882903768182</v>
      </c>
      <c r="J9" s="19">
        <v>0.80065882903768182</v>
      </c>
      <c r="K9" s="19">
        <v>0.80065882903768182</v>
      </c>
      <c r="L9" s="19">
        <v>0.80065882903768182</v>
      </c>
    </row>
    <row r="10" spans="1:12" ht="15.6" x14ac:dyDescent="0.3">
      <c r="A10" s="11" t="s">
        <v>10</v>
      </c>
      <c r="D10" s="18">
        <f>D30/D25</f>
        <v>4.8439763325231394E-2</v>
      </c>
      <c r="E10" s="18">
        <f>E30/E25</f>
        <v>4.9600611740878139E-2</v>
      </c>
      <c r="F10" s="18">
        <f>F30/F25</f>
        <v>5.2717780734977994E-2</v>
      </c>
      <c r="G10" s="18">
        <f>G30/G25</f>
        <v>6.1522562139475045E-2</v>
      </c>
      <c r="H10" s="19">
        <v>6.9586810215051767E-2</v>
      </c>
      <c r="I10" s="19">
        <v>6.9586810215051767E-2</v>
      </c>
      <c r="J10" s="19">
        <v>6.9586810215051767E-2</v>
      </c>
      <c r="K10" s="19">
        <v>6.9586810215051767E-2</v>
      </c>
      <c r="L10" s="19">
        <v>6.9586810215051767E-2</v>
      </c>
    </row>
    <row r="11" spans="1:12" ht="15.6" x14ac:dyDescent="0.3">
      <c r="A11" s="11" t="s">
        <v>11</v>
      </c>
      <c r="D11" s="18">
        <f>D31/D25</f>
        <v>3.7747661486337188E-2</v>
      </c>
      <c r="E11" s="18">
        <f>E31/E25</f>
        <v>4.1013505833238609E-2</v>
      </c>
      <c r="F11" s="18">
        <f>F31/F25</f>
        <v>4.6473538745009722E-2</v>
      </c>
      <c r="G11" s="18">
        <f>G31/G25</f>
        <v>6.7607327027112529E-2</v>
      </c>
      <c r="H11" s="19">
        <v>4.8210508272924522E-2</v>
      </c>
      <c r="I11" s="19">
        <v>4.8210508272924522E-2</v>
      </c>
      <c r="J11" s="19">
        <v>4.8210508272924522E-2</v>
      </c>
      <c r="K11" s="19">
        <v>4.8210508272924522E-2</v>
      </c>
      <c r="L11" s="19">
        <v>4.8210508272924522E-2</v>
      </c>
    </row>
    <row r="12" spans="1:12" ht="15.6" x14ac:dyDescent="0.3">
      <c r="A12" s="11" t="s">
        <v>12</v>
      </c>
      <c r="D12" s="16"/>
      <c r="E12" s="16"/>
      <c r="F12" s="16"/>
      <c r="G12" s="16"/>
      <c r="H12" s="19">
        <v>4.1845090209777558E-2</v>
      </c>
      <c r="I12" s="19">
        <v>4.1845090209777558E-2</v>
      </c>
      <c r="J12" s="19">
        <v>4.1845090209777558E-2</v>
      </c>
      <c r="K12" s="19">
        <v>4.1845090209777558E-2</v>
      </c>
      <c r="L12" s="19">
        <v>4.1845090209777558E-2</v>
      </c>
    </row>
    <row r="13" spans="1:12" ht="15.6" x14ac:dyDescent="0.3">
      <c r="A13" s="11" t="s">
        <v>13</v>
      </c>
      <c r="D13" s="18">
        <f>D37/D143</f>
        <v>3.3228949199721643E-2</v>
      </c>
      <c r="E13" s="18">
        <f>E37/E143</f>
        <v>1.6295832027577561E-2</v>
      </c>
      <c r="F13" s="18">
        <f>F37/F143</f>
        <v>2.5691844674447625E-2</v>
      </c>
      <c r="G13" s="18">
        <f>G37/G143</f>
        <v>2.2963516543243426E-2</v>
      </c>
      <c r="H13" s="19">
        <v>2.486702253953247E-2</v>
      </c>
      <c r="I13" s="19">
        <v>2.486702253953247E-2</v>
      </c>
      <c r="J13" s="19">
        <v>2.486702253953247E-2</v>
      </c>
      <c r="K13" s="19">
        <v>2.486702253953247E-2</v>
      </c>
      <c r="L13" s="19">
        <v>2.486702253953247E-2</v>
      </c>
    </row>
    <row r="14" spans="1:12" ht="15.6" x14ac:dyDescent="0.3">
      <c r="A14" s="11" t="s">
        <v>14</v>
      </c>
      <c r="D14" s="18">
        <f>D44/D43</f>
        <v>8.2513302718857054E-2</v>
      </c>
      <c r="E14" s="18">
        <f>E44/E43</f>
        <v>-0.50145392559911761</v>
      </c>
      <c r="F14" s="18">
        <f>F44/F43</f>
        <v>0.20433815350389323</v>
      </c>
      <c r="G14" s="18">
        <f>G44/G43</f>
        <v>0.26960970064418338</v>
      </c>
      <c r="H14" s="19">
        <v>0.2385829603995315</v>
      </c>
      <c r="I14" s="19">
        <v>0.2385829603995315</v>
      </c>
      <c r="J14" s="19">
        <v>0.2385829603995315</v>
      </c>
      <c r="K14" s="19">
        <v>0.2385829603995315</v>
      </c>
      <c r="L14" s="19">
        <v>0.2385829603995315</v>
      </c>
    </row>
    <row r="15" spans="1:12" ht="15.6" x14ac:dyDescent="0.3">
      <c r="A15" s="11" t="s">
        <v>15</v>
      </c>
      <c r="D15" s="20">
        <f>D83/D25*365</f>
        <v>13.22678058481255</v>
      </c>
      <c r="E15" s="20">
        <f>E83/E25*365</f>
        <v>13.23116985109483</v>
      </c>
      <c r="F15" s="20">
        <f>F83/F25*365</f>
        <v>16.507011976660866</v>
      </c>
      <c r="G15" s="20">
        <f>G83/G25*365</f>
        <v>17.613548883756735</v>
      </c>
      <c r="H15" s="21">
        <v>15.144627824081249</v>
      </c>
      <c r="I15" s="21">
        <v>15.144627824081249</v>
      </c>
      <c r="J15" s="21">
        <v>15.144627824081249</v>
      </c>
      <c r="K15" s="21">
        <v>15.144627824081249</v>
      </c>
      <c r="L15" s="21">
        <v>15.144627824081249</v>
      </c>
    </row>
    <row r="16" spans="1:12" ht="15.6" x14ac:dyDescent="0.3">
      <c r="A16" s="11" t="s">
        <v>16</v>
      </c>
      <c r="D16" s="20">
        <f>D84/D27*365</f>
        <v>77.319127522315156</v>
      </c>
      <c r="E16" s="20">
        <f>E84/E27*365</f>
        <v>62.865647870767134</v>
      </c>
      <c r="F16" s="20">
        <f>F84/F27*365</f>
        <v>54.663571784646059</v>
      </c>
      <c r="G16" s="20">
        <f>G84/G27*365</f>
        <v>58.187385023091871</v>
      </c>
      <c r="H16" s="21">
        <v>63.258933050205059</v>
      </c>
      <c r="I16" s="21">
        <v>63.258933050205059</v>
      </c>
      <c r="J16" s="21">
        <v>63.258933050205059</v>
      </c>
      <c r="K16" s="21">
        <v>63.258933050205059</v>
      </c>
      <c r="L16" s="21">
        <v>63.258933050205059</v>
      </c>
    </row>
    <row r="17" spans="1:12" ht="15.6" x14ac:dyDescent="0.3">
      <c r="A17" s="11" t="s">
        <v>17</v>
      </c>
      <c r="D17" s="20">
        <f>D108/D27*365</f>
        <v>91.868781864079594</v>
      </c>
      <c r="E17" s="20">
        <f>E108/E27*365</f>
        <v>66.579639250186446</v>
      </c>
      <c r="F17" s="20">
        <f>F108/F27*365</f>
        <v>56.742397806580264</v>
      </c>
      <c r="G17" s="20">
        <f>G108/G27*365</f>
        <v>62.784338697850337</v>
      </c>
      <c r="H17" s="21">
        <v>69.49378940467416</v>
      </c>
      <c r="I17" s="21">
        <v>69.49378940467416</v>
      </c>
      <c r="J17" s="21">
        <v>69.49378940467416</v>
      </c>
      <c r="K17" s="21">
        <v>69.49378940467416</v>
      </c>
      <c r="L17" s="21">
        <v>69.49378940467416</v>
      </c>
    </row>
    <row r="18" spans="1:12" ht="15.6" x14ac:dyDescent="0.3">
      <c r="A18" s="11" t="s">
        <v>18</v>
      </c>
      <c r="D18" s="15">
        <f>-D185</f>
        <v>7172000000</v>
      </c>
      <c r="E18" s="15">
        <f>-E185</f>
        <v>8899000000</v>
      </c>
      <c r="F18" s="15">
        <f>-F185</f>
        <v>11342000000</v>
      </c>
      <c r="G18" s="15">
        <f>-G185</f>
        <v>8527000000</v>
      </c>
      <c r="H18" s="22">
        <v>8985000000</v>
      </c>
      <c r="I18" s="22">
        <v>8985000000</v>
      </c>
      <c r="J18" s="22">
        <v>8985000000</v>
      </c>
      <c r="K18" s="22">
        <v>8985000000</v>
      </c>
      <c r="L18" s="22">
        <v>8985000000</v>
      </c>
    </row>
    <row r="19" spans="1:12" ht="15.6" x14ac:dyDescent="0.3">
      <c r="A19" s="11" t="s">
        <v>19</v>
      </c>
      <c r="D19" s="16"/>
      <c r="E19" s="16"/>
      <c r="F19" s="16"/>
      <c r="G19" s="16"/>
      <c r="H19" s="22">
        <v>262250000</v>
      </c>
      <c r="I19" s="22">
        <v>262250000</v>
      </c>
      <c r="J19" s="22">
        <v>262250000</v>
      </c>
      <c r="K19" s="22">
        <v>262250000</v>
      </c>
      <c r="L19" s="22">
        <v>262250000</v>
      </c>
    </row>
    <row r="20" spans="1:12" ht="15.6" x14ac:dyDescent="0.3">
      <c r="A20" s="11" t="s">
        <v>20</v>
      </c>
      <c r="D20" s="16"/>
      <c r="E20" s="16"/>
      <c r="F20" s="16"/>
      <c r="G20" s="16"/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3" spans="1:12" ht="18" x14ac:dyDescent="0.35">
      <c r="A23" s="8" t="s">
        <v>21</v>
      </c>
      <c r="D23" s="9"/>
      <c r="E23" s="9"/>
      <c r="F23" s="9"/>
      <c r="G23" s="9"/>
      <c r="H23" s="9"/>
      <c r="I23" s="9"/>
      <c r="J23" s="9"/>
      <c r="K23" s="9"/>
      <c r="L23" s="9"/>
    </row>
    <row r="25" spans="1:12" ht="15.6" x14ac:dyDescent="0.3">
      <c r="A25" s="10" t="s">
        <v>22</v>
      </c>
      <c r="D25" s="14">
        <v>81462000000</v>
      </c>
      <c r="E25" s="14">
        <v>96773000000</v>
      </c>
      <c r="F25" s="14">
        <v>97690000000</v>
      </c>
      <c r="G25" s="14">
        <v>94827000000</v>
      </c>
      <c r="H25" s="15">
        <f>G25*(1+H8)</f>
        <v>102379799768.12251</v>
      </c>
      <c r="I25" s="15">
        <f>H25*(1+I8)</f>
        <v>110534166435.30702</v>
      </c>
      <c r="J25" s="15">
        <f>I25*(1+J8)</f>
        <v>119338013721.65166</v>
      </c>
      <c r="K25" s="15">
        <f>J25*(1+K8)</f>
        <v>128843071588.76854</v>
      </c>
      <c r="L25" s="15">
        <f>K25*(1+L8)</f>
        <v>139105190196.54736</v>
      </c>
    </row>
    <row r="26" spans="1:12" ht="15.6" x14ac:dyDescent="0.3">
      <c r="A26" s="11" t="s">
        <v>23</v>
      </c>
      <c r="D26" s="15">
        <v>81462000000</v>
      </c>
      <c r="E26" s="15">
        <v>96773000000</v>
      </c>
      <c r="F26" s="15">
        <v>97690000000</v>
      </c>
      <c r="G26" s="15">
        <v>94827000000</v>
      </c>
      <c r="H26" s="16"/>
      <c r="I26" s="16"/>
      <c r="J26" s="16"/>
      <c r="K26" s="16"/>
      <c r="L26" s="16"/>
    </row>
    <row r="27" spans="1:12" ht="15.6" x14ac:dyDescent="0.3">
      <c r="A27" s="10" t="s">
        <v>24</v>
      </c>
      <c r="D27" s="14">
        <v>60609000000</v>
      </c>
      <c r="E27" s="14">
        <v>79113000000</v>
      </c>
      <c r="F27" s="14">
        <v>80240000000</v>
      </c>
      <c r="G27" s="14">
        <v>77733000000</v>
      </c>
      <c r="H27" s="15">
        <f>H25*H9</f>
        <v>81971290599.457306</v>
      </c>
      <c r="I27" s="15">
        <f>I25*I9</f>
        <v>88500156266.749146</v>
      </c>
      <c r="J27" s="15">
        <f>J25*J9</f>
        <v>95549034326.060425</v>
      </c>
      <c r="K27" s="15">
        <f>K25*K9</f>
        <v>103159342827.88162</v>
      </c>
      <c r="L27" s="15">
        <f>L25*L9</f>
        <v>111375798695.83163</v>
      </c>
    </row>
    <row r="28" spans="1:12" ht="15.6" x14ac:dyDescent="0.3">
      <c r="A28" s="10" t="s">
        <v>25</v>
      </c>
      <c r="D28" s="14">
        <v>20853000000</v>
      </c>
      <c r="E28" s="14">
        <v>17660000000</v>
      </c>
      <c r="F28" s="14">
        <v>17450000000</v>
      </c>
      <c r="G28" s="14">
        <v>17094000000</v>
      </c>
      <c r="H28" s="14">
        <f>H25-H27</f>
        <v>20408509168.665207</v>
      </c>
      <c r="I28" s="14">
        <f>I25-I27</f>
        <v>22034010168.557877</v>
      </c>
      <c r="J28" s="14">
        <f>J25-J27</f>
        <v>23788979395.591232</v>
      </c>
      <c r="K28" s="14">
        <f>K25-K27</f>
        <v>25683728760.886917</v>
      </c>
      <c r="L28" s="14">
        <f>L25-L27</f>
        <v>27729391500.715729</v>
      </c>
    </row>
    <row r="29" spans="1:12" ht="15.6" x14ac:dyDescent="0.3">
      <c r="A29" s="10" t="s">
        <v>26</v>
      </c>
      <c r="D29" s="14">
        <v>7021000000</v>
      </c>
      <c r="E29" s="14">
        <v>8769000000</v>
      </c>
      <c r="F29" s="14">
        <v>9690000000</v>
      </c>
      <c r="G29" s="14">
        <v>12245000000</v>
      </c>
      <c r="H29" s="16"/>
      <c r="I29" s="16"/>
      <c r="J29" s="16"/>
      <c r="K29" s="16"/>
      <c r="L29" s="16"/>
    </row>
    <row r="30" spans="1:12" ht="15.6" x14ac:dyDescent="0.3">
      <c r="A30" s="11" t="s">
        <v>27</v>
      </c>
      <c r="D30" s="15">
        <v>3946000000</v>
      </c>
      <c r="E30" s="15">
        <v>4800000000</v>
      </c>
      <c r="F30" s="15">
        <v>5150000000</v>
      </c>
      <c r="G30" s="15">
        <v>5834000000</v>
      </c>
      <c r="H30" s="15">
        <f>H25*H10</f>
        <v>7124283696.3193426</v>
      </c>
      <c r="I30" s="15">
        <f>I25*I10</f>
        <v>7691720062.0126553</v>
      </c>
      <c r="J30" s="15">
        <f>J25*J10</f>
        <v>8304351712.2898178</v>
      </c>
      <c r="K30" s="15">
        <f>K25*K10</f>
        <v>8965778370.1719646</v>
      </c>
      <c r="L30" s="15">
        <f>L25*L10</f>
        <v>9679886470.1358204</v>
      </c>
    </row>
    <row r="31" spans="1:12" ht="15.6" x14ac:dyDescent="0.3">
      <c r="A31" s="11" t="s">
        <v>28</v>
      </c>
      <c r="D31" s="15">
        <v>3075000000</v>
      </c>
      <c r="E31" s="15">
        <v>3969000000</v>
      </c>
      <c r="F31" s="15">
        <v>4540000000</v>
      </c>
      <c r="G31" s="15">
        <v>6411000000</v>
      </c>
      <c r="H31" s="15">
        <f>H25*H11</f>
        <v>4935782183.7014265</v>
      </c>
      <c r="I31" s="15">
        <f>I25*I11</f>
        <v>5328908345.3701849</v>
      </c>
      <c r="J31" s="15">
        <f>J25*J11</f>
        <v>5753346297.8020678</v>
      </c>
      <c r="K31" s="15">
        <f>K25*K11</f>
        <v>6211589968.7393322</v>
      </c>
      <c r="L31" s="15">
        <f>L25*L11</f>
        <v>6706331922.7773857</v>
      </c>
    </row>
    <row r="32" spans="1:12" ht="15.6" x14ac:dyDescent="0.3">
      <c r="A32" s="11" t="s">
        <v>29</v>
      </c>
      <c r="D32" s="15">
        <v>176000000</v>
      </c>
      <c r="E32" s="15">
        <v>0</v>
      </c>
      <c r="F32" s="15">
        <v>684000000</v>
      </c>
      <c r="G32" s="15">
        <v>494000000</v>
      </c>
      <c r="H32" s="16"/>
      <c r="I32" s="16"/>
      <c r="J32" s="16"/>
      <c r="K32" s="16"/>
      <c r="L32" s="16"/>
    </row>
    <row r="33" spans="1:12" ht="15.6" x14ac:dyDescent="0.3">
      <c r="A33" s="10" t="s">
        <v>30</v>
      </c>
      <c r="D33" s="14">
        <v>13832000000</v>
      </c>
      <c r="E33" s="14">
        <v>8891000000</v>
      </c>
      <c r="F33" s="14">
        <v>7760000000</v>
      </c>
      <c r="G33" s="14">
        <v>4849000000</v>
      </c>
      <c r="H33" s="14">
        <f>H28-H30-H31-H59</f>
        <v>5997586120.6591339</v>
      </c>
      <c r="I33" s="14">
        <f>I28-I30-I31-I59</f>
        <v>6384918287.9195299</v>
      </c>
      <c r="J33" s="14">
        <f>J28-J30-J31-J59</f>
        <v>6836828067.8604717</v>
      </c>
      <c r="K33" s="14">
        <f>K28-K30-K31-K59</f>
        <v>7357047628.9864807</v>
      </c>
      <c r="L33" s="14">
        <f>L28-L30-L31-L59</f>
        <v>7949665457.1999702</v>
      </c>
    </row>
    <row r="34" spans="1:12" ht="15.6" x14ac:dyDescent="0.3">
      <c r="A34" s="10" t="s">
        <v>31</v>
      </c>
      <c r="D34" s="14">
        <v>106000000</v>
      </c>
      <c r="E34" s="14">
        <v>910000000</v>
      </c>
      <c r="F34" s="14">
        <v>1219000000</v>
      </c>
      <c r="G34" s="14">
        <v>1342000000</v>
      </c>
      <c r="H34" s="16"/>
      <c r="I34" s="16"/>
      <c r="J34" s="16"/>
      <c r="K34" s="16"/>
      <c r="L34" s="16"/>
    </row>
    <row r="35" spans="1:12" ht="15.6" x14ac:dyDescent="0.3">
      <c r="A35" s="11" t="s">
        <v>32</v>
      </c>
      <c r="D35" s="15">
        <v>297000000</v>
      </c>
      <c r="E35" s="15">
        <v>1066000000</v>
      </c>
      <c r="F35" s="15">
        <v>1569000000</v>
      </c>
      <c r="G35" s="15">
        <v>1680000000</v>
      </c>
      <c r="H35" s="16"/>
      <c r="I35" s="16"/>
      <c r="J35" s="16"/>
      <c r="K35" s="16"/>
      <c r="L35" s="16"/>
    </row>
    <row r="36" spans="1:12" ht="15.6" x14ac:dyDescent="0.3">
      <c r="A36" s="11" t="s">
        <v>33</v>
      </c>
      <c r="D36" s="15">
        <v>191000000</v>
      </c>
      <c r="E36" s="15">
        <v>156000000</v>
      </c>
      <c r="F36" s="15">
        <v>350000000</v>
      </c>
      <c r="G36" s="15">
        <v>338000000</v>
      </c>
      <c r="H36" s="16"/>
      <c r="I36" s="16"/>
      <c r="J36" s="16"/>
      <c r="K36" s="16"/>
      <c r="L36" s="16"/>
    </row>
    <row r="37" spans="1:12" ht="15.6" x14ac:dyDescent="0.3">
      <c r="A37" s="11" t="s">
        <v>34</v>
      </c>
      <c r="D37" s="15">
        <v>191000000</v>
      </c>
      <c r="E37" s="15">
        <v>156000000</v>
      </c>
      <c r="F37" s="15">
        <v>350000000</v>
      </c>
      <c r="G37" s="15">
        <v>338000000</v>
      </c>
      <c r="H37" s="15">
        <f>H232</f>
        <v>369278393.08987463</v>
      </c>
      <c r="I37" s="15">
        <f>I232</f>
        <v>375799769.75086701</v>
      </c>
      <c r="J37" s="15">
        <f>J232</f>
        <v>382321146.41185939</v>
      </c>
      <c r="K37" s="15">
        <f>K232</f>
        <v>388842523.07285178</v>
      </c>
      <c r="L37" s="15">
        <f>L232</f>
        <v>395363899.73384416</v>
      </c>
    </row>
    <row r="38" spans="1:12" ht="15.6" x14ac:dyDescent="0.3">
      <c r="A38" s="11" t="s">
        <v>35</v>
      </c>
      <c r="D38" s="15">
        <v>297000000</v>
      </c>
      <c r="E38" s="15">
        <v>1066000000</v>
      </c>
      <c r="F38" s="15">
        <v>1569000000</v>
      </c>
      <c r="G38" s="15">
        <v>1680000000</v>
      </c>
      <c r="H38" s="16"/>
      <c r="I38" s="16"/>
      <c r="J38" s="16"/>
      <c r="K38" s="16"/>
      <c r="L38" s="16"/>
    </row>
    <row r="39" spans="1:12" ht="15.6" x14ac:dyDescent="0.3">
      <c r="A39" s="11" t="s">
        <v>36</v>
      </c>
      <c r="D39" s="15">
        <v>106000000</v>
      </c>
      <c r="E39" s="15">
        <v>910000000</v>
      </c>
      <c r="F39" s="15">
        <v>1219000000</v>
      </c>
      <c r="G39" s="15">
        <v>1342000000</v>
      </c>
      <c r="H39" s="16"/>
      <c r="I39" s="16"/>
      <c r="J39" s="16"/>
      <c r="K39" s="16"/>
      <c r="L39" s="16"/>
    </row>
    <row r="40" spans="1:12" ht="15.6" x14ac:dyDescent="0.3">
      <c r="A40" s="10" t="s">
        <v>37</v>
      </c>
      <c r="D40" s="14">
        <v>-219000000</v>
      </c>
      <c r="E40" s="14">
        <v>172000000</v>
      </c>
      <c r="F40" s="14">
        <v>11000000</v>
      </c>
      <c r="G40" s="14">
        <v>-913000000</v>
      </c>
      <c r="H40" s="16"/>
      <c r="I40" s="16"/>
      <c r="J40" s="16"/>
      <c r="K40" s="16"/>
      <c r="L40" s="16"/>
    </row>
    <row r="41" spans="1:12" ht="15.6" x14ac:dyDescent="0.3">
      <c r="A41" s="11" t="s">
        <v>38</v>
      </c>
      <c r="D41" s="15">
        <v>-176000000</v>
      </c>
      <c r="E41" s="15">
        <v>0</v>
      </c>
      <c r="F41" s="15">
        <v>-684000000</v>
      </c>
      <c r="G41" s="15">
        <v>-494000000</v>
      </c>
      <c r="H41" s="16"/>
      <c r="I41" s="16"/>
      <c r="J41" s="16"/>
      <c r="K41" s="16"/>
      <c r="L41" s="16"/>
    </row>
    <row r="42" spans="1:12" ht="15.6" x14ac:dyDescent="0.3">
      <c r="A42" s="11" t="s">
        <v>39</v>
      </c>
      <c r="D42" s="15">
        <v>-43000000</v>
      </c>
      <c r="E42" s="15">
        <v>172000000</v>
      </c>
      <c r="F42" s="15">
        <v>695000000</v>
      </c>
      <c r="G42" s="15">
        <v>-419000000</v>
      </c>
      <c r="H42" s="16"/>
      <c r="I42" s="16"/>
      <c r="J42" s="16"/>
      <c r="K42" s="16"/>
      <c r="L42" s="16"/>
    </row>
    <row r="43" spans="1:12" ht="15.6" x14ac:dyDescent="0.3">
      <c r="A43" s="10" t="s">
        <v>40</v>
      </c>
      <c r="D43" s="14">
        <v>13719000000</v>
      </c>
      <c r="E43" s="14">
        <v>9973000000</v>
      </c>
      <c r="F43" s="14">
        <v>8990000000</v>
      </c>
      <c r="G43" s="14">
        <v>5278000000</v>
      </c>
      <c r="H43" s="14">
        <f>H33-H37</f>
        <v>5628307727.5692596</v>
      </c>
      <c r="I43" s="14">
        <f>I33-I37</f>
        <v>6009118518.168663</v>
      </c>
      <c r="J43" s="14">
        <f>J33-J37</f>
        <v>6454506921.4486122</v>
      </c>
      <c r="K43" s="14">
        <f>K33-K37</f>
        <v>6968205105.9136286</v>
      </c>
      <c r="L43" s="14">
        <f>L33-L37</f>
        <v>7554301557.4661264</v>
      </c>
    </row>
    <row r="44" spans="1:12" ht="15.6" x14ac:dyDescent="0.3">
      <c r="A44" s="10" t="s">
        <v>41</v>
      </c>
      <c r="D44" s="14">
        <v>1132000000</v>
      </c>
      <c r="E44" s="14">
        <v>-5001000000</v>
      </c>
      <c r="F44" s="14">
        <v>1837000000</v>
      </c>
      <c r="G44" s="14">
        <v>1423000000</v>
      </c>
      <c r="H44" s="15">
        <f>MAX(H43*H14,0)</f>
        <v>1342818319.6830337</v>
      </c>
      <c r="I44" s="15">
        <f>MAX(I43*I14,0)</f>
        <v>1433673285.4563255</v>
      </c>
      <c r="J44" s="15">
        <f>MAX(J43*J14,0)</f>
        <v>1539935369.2384763</v>
      </c>
      <c r="K44" s="15">
        <f>MAX(K43*K14,0)</f>
        <v>1662495002.8400044</v>
      </c>
      <c r="L44" s="15">
        <f>MAX(L43*L14,0)</f>
        <v>1802327629.3310599</v>
      </c>
    </row>
    <row r="45" spans="1:12" ht="15.6" x14ac:dyDescent="0.3">
      <c r="A45" s="11" t="s">
        <v>42</v>
      </c>
      <c r="D45" s="15">
        <v>-4000000</v>
      </c>
      <c r="E45" s="15">
        <v>25000000</v>
      </c>
      <c r="F45" s="15">
        <v>-23000000</v>
      </c>
      <c r="G45" s="15">
        <v>-61000000</v>
      </c>
      <c r="H45" s="16"/>
      <c r="I45" s="16"/>
      <c r="J45" s="16"/>
      <c r="K45" s="16"/>
      <c r="L45" s="16"/>
    </row>
    <row r="46" spans="1:12" ht="15.6" x14ac:dyDescent="0.3">
      <c r="A46" s="10" t="s">
        <v>43</v>
      </c>
      <c r="D46" s="14">
        <v>12587000000</v>
      </c>
      <c r="E46" s="14">
        <v>14974000000</v>
      </c>
      <c r="F46" s="14">
        <v>7153000000</v>
      </c>
      <c r="G46" s="14">
        <v>3855000000</v>
      </c>
      <c r="H46" s="16"/>
      <c r="I46" s="16"/>
      <c r="J46" s="16"/>
      <c r="K46" s="16"/>
      <c r="L46" s="16"/>
    </row>
    <row r="47" spans="1:12" ht="15.6" x14ac:dyDescent="0.3">
      <c r="A47" s="10" t="s">
        <v>44</v>
      </c>
      <c r="D47" s="14">
        <v>12587000000</v>
      </c>
      <c r="E47" s="14">
        <v>14974000000</v>
      </c>
      <c r="F47" s="14">
        <v>7153000000</v>
      </c>
      <c r="G47" s="14">
        <v>3855000000</v>
      </c>
      <c r="H47" s="16"/>
      <c r="I47" s="16"/>
      <c r="J47" s="16"/>
      <c r="K47" s="16"/>
      <c r="L47" s="16"/>
    </row>
    <row r="48" spans="1:12" ht="15.6" x14ac:dyDescent="0.3">
      <c r="A48" s="10" t="s">
        <v>45</v>
      </c>
      <c r="D48" s="14">
        <v>12583000000</v>
      </c>
      <c r="E48" s="14">
        <v>14999000000</v>
      </c>
      <c r="F48" s="14">
        <v>7130000000</v>
      </c>
      <c r="G48" s="14">
        <v>3794000000</v>
      </c>
      <c r="H48" s="14">
        <f>H43-H44</f>
        <v>4285489407.8862257</v>
      </c>
      <c r="I48" s="14">
        <f>I43-I44</f>
        <v>4575445232.7123375</v>
      </c>
      <c r="J48" s="14">
        <f>J43-J44</f>
        <v>4914571552.2101364</v>
      </c>
      <c r="K48" s="14">
        <f>K43-K44</f>
        <v>5305710103.0736237</v>
      </c>
      <c r="L48" s="14">
        <f>L43-L44</f>
        <v>5751973928.135067</v>
      </c>
    </row>
    <row r="49" spans="1:12" ht="15.6" x14ac:dyDescent="0.3">
      <c r="A49" s="10" t="s">
        <v>46</v>
      </c>
      <c r="D49" s="14">
        <v>12583000000</v>
      </c>
      <c r="E49" s="14">
        <v>14999000000</v>
      </c>
      <c r="F49" s="14">
        <v>7130000000</v>
      </c>
      <c r="G49" s="14">
        <v>3794000000</v>
      </c>
      <c r="H49" s="16"/>
      <c r="I49" s="16"/>
      <c r="J49" s="16"/>
      <c r="K49" s="16"/>
      <c r="L49" s="16"/>
    </row>
    <row r="50" spans="1:12" ht="15.6" x14ac:dyDescent="0.3">
      <c r="A50" s="10" t="s">
        <v>47</v>
      </c>
      <c r="D50" s="14">
        <v>4.0199999999999996</v>
      </c>
      <c r="E50" s="14">
        <v>4.7256970000000003</v>
      </c>
      <c r="F50" s="14">
        <v>2.23</v>
      </c>
      <c r="G50" s="14">
        <v>1.176525</v>
      </c>
      <c r="H50" s="16"/>
      <c r="I50" s="16"/>
      <c r="J50" s="16"/>
      <c r="K50" s="16"/>
      <c r="L50" s="16"/>
    </row>
    <row r="51" spans="1:12" ht="15.6" x14ac:dyDescent="0.3">
      <c r="A51" s="10" t="s">
        <v>48</v>
      </c>
      <c r="D51" s="14">
        <v>3.62</v>
      </c>
      <c r="E51" s="14">
        <v>4.3099999999999996</v>
      </c>
      <c r="F51" s="14">
        <v>2.04</v>
      </c>
      <c r="G51" s="14">
        <v>1.08</v>
      </c>
      <c r="H51" s="16"/>
      <c r="I51" s="16"/>
      <c r="J51" s="16"/>
      <c r="K51" s="16"/>
      <c r="L51" s="16"/>
    </row>
    <row r="52" spans="1:12" ht="15.6" x14ac:dyDescent="0.3">
      <c r="A52" s="10" t="s">
        <v>49</v>
      </c>
      <c r="D52" s="14">
        <v>3130000000</v>
      </c>
      <c r="E52" s="14">
        <v>3173500000</v>
      </c>
      <c r="F52" s="14">
        <v>3216000000</v>
      </c>
      <c r="G52" s="14">
        <v>3224750000</v>
      </c>
      <c r="H52" s="16"/>
      <c r="I52" s="16"/>
      <c r="J52" s="16"/>
      <c r="K52" s="16"/>
      <c r="L52" s="16"/>
    </row>
    <row r="53" spans="1:12" ht="15.6" x14ac:dyDescent="0.3">
      <c r="A53" s="10" t="s">
        <v>50</v>
      </c>
      <c r="D53" s="14">
        <v>3475000000</v>
      </c>
      <c r="E53" s="14">
        <v>3482750000</v>
      </c>
      <c r="F53" s="14">
        <v>3216000000</v>
      </c>
      <c r="G53" s="14">
        <v>3526250000</v>
      </c>
      <c r="H53" s="16"/>
      <c r="I53" s="16"/>
      <c r="J53" s="16"/>
      <c r="K53" s="16"/>
      <c r="L53" s="16"/>
    </row>
    <row r="54" spans="1:12" ht="15.6" x14ac:dyDescent="0.3">
      <c r="A54" s="10" t="s">
        <v>51</v>
      </c>
      <c r="D54" s="14">
        <v>17657000000</v>
      </c>
      <c r="E54" s="14">
        <v>14796000000</v>
      </c>
      <c r="F54" s="14">
        <v>14708000000</v>
      </c>
      <c r="G54" s="14">
        <v>11764000000</v>
      </c>
      <c r="H54" s="16"/>
      <c r="I54" s="16"/>
      <c r="J54" s="16"/>
      <c r="K54" s="16"/>
      <c r="L54" s="16"/>
    </row>
    <row r="55" spans="1:12" ht="15.6" x14ac:dyDescent="0.3">
      <c r="A55" s="10" t="s">
        <v>52</v>
      </c>
      <c r="D55" s="14">
        <v>13910000000</v>
      </c>
      <c r="E55" s="14">
        <v>10129000000</v>
      </c>
      <c r="F55" s="14">
        <v>9340000000</v>
      </c>
      <c r="G55" s="14">
        <v>5616000000</v>
      </c>
      <c r="H55" s="16"/>
      <c r="I55" s="16"/>
      <c r="J55" s="16"/>
      <c r="K55" s="16"/>
      <c r="L55" s="16"/>
    </row>
    <row r="56" spans="1:12" ht="15.6" x14ac:dyDescent="0.3">
      <c r="A56" s="10" t="s">
        <v>53</v>
      </c>
      <c r="D56" s="14">
        <v>17833000000</v>
      </c>
      <c r="E56" s="14">
        <v>14796000000</v>
      </c>
      <c r="F56" s="14">
        <v>15392000000</v>
      </c>
      <c r="G56" s="14">
        <v>12258000000</v>
      </c>
      <c r="H56" s="16"/>
      <c r="I56" s="16"/>
      <c r="J56" s="16"/>
      <c r="K56" s="16"/>
      <c r="L56" s="16"/>
    </row>
    <row r="57" spans="1:12" ht="15.6" x14ac:dyDescent="0.3">
      <c r="A57" s="10" t="s">
        <v>54</v>
      </c>
      <c r="D57" s="14">
        <v>12744920000</v>
      </c>
      <c r="E57" s="14">
        <v>14999000000</v>
      </c>
      <c r="F57" s="14">
        <v>7677200000</v>
      </c>
      <c r="G57" s="14">
        <v>4154620000</v>
      </c>
      <c r="H57" s="16"/>
      <c r="I57" s="16"/>
      <c r="J57" s="16"/>
      <c r="K57" s="16"/>
      <c r="L57" s="16"/>
    </row>
    <row r="58" spans="1:12" ht="15.6" x14ac:dyDescent="0.3">
      <c r="A58" s="10" t="s">
        <v>55</v>
      </c>
      <c r="D58" s="14">
        <v>60609000000</v>
      </c>
      <c r="E58" s="14">
        <v>79113000000</v>
      </c>
      <c r="F58" s="14">
        <v>80240000000</v>
      </c>
      <c r="G58" s="14">
        <v>77733000000</v>
      </c>
      <c r="H58" s="16"/>
      <c r="I58" s="16"/>
      <c r="J58" s="16"/>
      <c r="K58" s="16"/>
      <c r="L58" s="16"/>
    </row>
    <row r="59" spans="1:12" ht="15.6" x14ac:dyDescent="0.3">
      <c r="A59" s="10" t="s">
        <v>56</v>
      </c>
      <c r="D59" s="14">
        <v>3747000000</v>
      </c>
      <c r="E59" s="14">
        <v>4667000000</v>
      </c>
      <c r="F59" s="14">
        <v>5368000000</v>
      </c>
      <c r="G59" s="14">
        <v>6148000000</v>
      </c>
      <c r="H59" s="15">
        <f>-H225</f>
        <v>2350857167.9853034</v>
      </c>
      <c r="I59" s="15">
        <f>-I225</f>
        <v>2628463473.2555075</v>
      </c>
      <c r="J59" s="15">
        <f>-J225</f>
        <v>2894453317.6388764</v>
      </c>
      <c r="K59" s="15">
        <f>-K225</f>
        <v>3149312792.9891396</v>
      </c>
      <c r="L59" s="15">
        <f>-L225</f>
        <v>3393507650.6025538</v>
      </c>
    </row>
    <row r="60" spans="1:12" ht="15.6" x14ac:dyDescent="0.3">
      <c r="A60" s="10" t="s">
        <v>57</v>
      </c>
      <c r="D60" s="14">
        <v>67630000000</v>
      </c>
      <c r="E60" s="14">
        <v>87882000000</v>
      </c>
      <c r="F60" s="14">
        <v>89930000000</v>
      </c>
      <c r="G60" s="14">
        <v>89978000000</v>
      </c>
      <c r="H60" s="16"/>
      <c r="I60" s="16"/>
      <c r="J60" s="16"/>
      <c r="K60" s="16"/>
      <c r="L60" s="16"/>
    </row>
    <row r="61" spans="1:12" ht="15.6" x14ac:dyDescent="0.3">
      <c r="A61" s="10" t="s">
        <v>58</v>
      </c>
      <c r="D61" s="14">
        <v>13656000000</v>
      </c>
      <c r="E61" s="14">
        <v>8891000000</v>
      </c>
      <c r="F61" s="14">
        <v>7076000000</v>
      </c>
      <c r="G61" s="14">
        <v>4355000000</v>
      </c>
      <c r="H61" s="16"/>
      <c r="I61" s="16"/>
      <c r="J61" s="16"/>
      <c r="K61" s="16"/>
      <c r="L61" s="16"/>
    </row>
    <row r="62" spans="1:12" ht="15.6" x14ac:dyDescent="0.3">
      <c r="A62" s="10" t="s">
        <v>59</v>
      </c>
      <c r="D62" s="14">
        <v>-176000000</v>
      </c>
      <c r="E62" s="14">
        <v>0</v>
      </c>
      <c r="F62" s="14">
        <v>-684000000</v>
      </c>
      <c r="G62" s="14">
        <v>-494000000</v>
      </c>
      <c r="H62" s="16"/>
      <c r="I62" s="16"/>
      <c r="J62" s="16"/>
      <c r="K62" s="16"/>
      <c r="L62" s="16"/>
    </row>
    <row r="63" spans="1:12" ht="15.6" x14ac:dyDescent="0.3">
      <c r="A63" s="10" t="s">
        <v>60</v>
      </c>
      <c r="D63" s="14">
        <v>-176000000</v>
      </c>
      <c r="E63" s="14">
        <v>0</v>
      </c>
      <c r="F63" s="14">
        <v>-684000000</v>
      </c>
      <c r="G63" s="14">
        <v>-494000000</v>
      </c>
      <c r="H63" s="16"/>
      <c r="I63" s="16"/>
      <c r="J63" s="16"/>
      <c r="K63" s="16"/>
      <c r="L63" s="16"/>
    </row>
    <row r="64" spans="1:12" ht="15.6" x14ac:dyDescent="0.3">
      <c r="A64" s="10" t="s">
        <v>61</v>
      </c>
      <c r="D64" s="14">
        <v>-14080000</v>
      </c>
      <c r="E64" s="14">
        <v>0</v>
      </c>
      <c r="F64" s="14">
        <v>-136800000</v>
      </c>
      <c r="G64" s="14">
        <v>-133380000</v>
      </c>
      <c r="H64" s="16"/>
      <c r="I64" s="16"/>
      <c r="J64" s="16"/>
      <c r="K64" s="16"/>
      <c r="L64" s="16"/>
    </row>
    <row r="65" spans="1:12" ht="15.6" x14ac:dyDescent="0.3">
      <c r="A65" s="10" t="s">
        <v>62</v>
      </c>
      <c r="D65" s="14">
        <v>0.08</v>
      </c>
      <c r="E65" s="14">
        <v>0.21</v>
      </c>
      <c r="F65" s="14">
        <v>0.2</v>
      </c>
      <c r="G65" s="14">
        <v>0.27</v>
      </c>
      <c r="H65" s="16"/>
      <c r="I65" s="16"/>
      <c r="J65" s="16"/>
      <c r="K65" s="16"/>
      <c r="L65" s="16"/>
    </row>
    <row r="66" spans="1:12" ht="15.6" x14ac:dyDescent="0.3">
      <c r="A66" s="10" t="s">
        <v>63</v>
      </c>
      <c r="D66" s="14">
        <v>12583000000</v>
      </c>
      <c r="E66" s="14">
        <v>14999000000</v>
      </c>
      <c r="F66" s="14">
        <v>7130000000</v>
      </c>
      <c r="G66" s="14">
        <v>3794000000</v>
      </c>
      <c r="H66" s="16"/>
      <c r="I66" s="16"/>
      <c r="J66" s="16"/>
      <c r="K66" s="16"/>
      <c r="L66" s="16"/>
    </row>
    <row r="67" spans="1:12" ht="15.6" x14ac:dyDescent="0.3">
      <c r="A67" s="10" t="s">
        <v>64</v>
      </c>
      <c r="D67" s="14">
        <v>12583000000</v>
      </c>
      <c r="E67" s="14">
        <v>14999000000</v>
      </c>
      <c r="F67" s="14">
        <v>7130000000</v>
      </c>
      <c r="G67" s="14">
        <v>3794000000</v>
      </c>
      <c r="H67" s="16"/>
      <c r="I67" s="16"/>
      <c r="J67" s="16"/>
      <c r="K67" s="16"/>
      <c r="L67" s="16"/>
    </row>
    <row r="68" spans="1:12" ht="15.6" x14ac:dyDescent="0.3">
      <c r="A68" s="10" t="s">
        <v>65</v>
      </c>
      <c r="D68" s="14">
        <v>12584000000</v>
      </c>
      <c r="E68" s="14">
        <v>14999000000</v>
      </c>
      <c r="F68" s="14">
        <v>7130000000</v>
      </c>
      <c r="G68" s="14">
        <v>3794000000</v>
      </c>
      <c r="H68" s="16"/>
      <c r="I68" s="16"/>
      <c r="J68" s="16"/>
      <c r="K68" s="16"/>
      <c r="L68" s="16"/>
    </row>
    <row r="69" spans="1:12" ht="15.6" x14ac:dyDescent="0.3">
      <c r="A69" s="10" t="s">
        <v>66</v>
      </c>
      <c r="D69" s="14">
        <v>1000000</v>
      </c>
      <c r="E69" s="14">
        <v>0</v>
      </c>
      <c r="F69" s="14">
        <v>0</v>
      </c>
      <c r="G69" s="16"/>
      <c r="H69" s="16"/>
      <c r="I69" s="16"/>
      <c r="J69" s="16"/>
      <c r="K69" s="16"/>
      <c r="L69" s="16"/>
    </row>
    <row r="70" spans="1:12" ht="15.6" x14ac:dyDescent="0.3">
      <c r="A70" s="11" t="s">
        <v>67</v>
      </c>
      <c r="D70" s="15">
        <v>1509000000</v>
      </c>
      <c r="E70" s="15">
        <v>1268000000</v>
      </c>
      <c r="F70" s="15">
        <v>1003000000</v>
      </c>
      <c r="G70" s="16"/>
      <c r="H70" s="16"/>
      <c r="I70" s="16"/>
      <c r="J70" s="16"/>
      <c r="K70" s="16"/>
      <c r="L70" s="16"/>
    </row>
    <row r="73" spans="1:12" ht="18" x14ac:dyDescent="0.35">
      <c r="A73" s="8" t="s">
        <v>68</v>
      </c>
      <c r="D73" s="9"/>
      <c r="E73" s="9"/>
      <c r="F73" s="9"/>
      <c r="G73" s="9"/>
      <c r="H73" s="9"/>
      <c r="I73" s="9"/>
      <c r="J73" s="9"/>
      <c r="K73" s="9"/>
      <c r="L73" s="9"/>
    </row>
    <row r="75" spans="1:12" ht="15.6" x14ac:dyDescent="0.3">
      <c r="A75" s="10" t="s">
        <v>69</v>
      </c>
      <c r="D75" s="14">
        <v>82338000000</v>
      </c>
      <c r="E75" s="14">
        <v>106618000000</v>
      </c>
      <c r="F75" s="14">
        <v>122070000000</v>
      </c>
      <c r="G75" s="14">
        <v>137806000000</v>
      </c>
      <c r="H75" s="16"/>
      <c r="I75" s="16"/>
      <c r="J75" s="16"/>
      <c r="K75" s="16"/>
      <c r="L75" s="16"/>
    </row>
    <row r="76" spans="1:12" ht="15.6" x14ac:dyDescent="0.3">
      <c r="A76" s="10" t="s">
        <v>70</v>
      </c>
      <c r="D76" s="14">
        <v>40917000000</v>
      </c>
      <c r="E76" s="14">
        <v>49616000000</v>
      </c>
      <c r="F76" s="14">
        <v>58360000000</v>
      </c>
      <c r="G76" s="14">
        <v>68642000000</v>
      </c>
      <c r="H76" s="16"/>
      <c r="I76" s="16"/>
      <c r="J76" s="16"/>
      <c r="K76" s="16"/>
      <c r="L76" s="16"/>
    </row>
    <row r="77" spans="1:12" ht="15.6" x14ac:dyDescent="0.3">
      <c r="A77" s="11" t="s">
        <v>71</v>
      </c>
      <c r="D77" s="15">
        <v>16253000000</v>
      </c>
      <c r="E77" s="15">
        <v>16398000000</v>
      </c>
      <c r="F77" s="15">
        <v>16139000000</v>
      </c>
      <c r="G77" s="15">
        <v>16513000000</v>
      </c>
      <c r="H77" s="15">
        <f>H214</f>
        <v>15529596575.871529</v>
      </c>
      <c r="I77" s="15">
        <f>I214</f>
        <v>14010755281.839375</v>
      </c>
      <c r="J77" s="15">
        <f>J214</f>
        <v>13097030151.688387</v>
      </c>
      <c r="K77" s="15">
        <f>K214</f>
        <v>12829303047.75115</v>
      </c>
      <c r="L77" s="15">
        <f>L214</f>
        <v>13252034626.488771</v>
      </c>
    </row>
    <row r="78" spans="1:12" ht="15.6" x14ac:dyDescent="0.3">
      <c r="A78" s="11" t="s">
        <v>72</v>
      </c>
      <c r="D78" s="15">
        <v>2288000000</v>
      </c>
      <c r="E78" s="15">
        <v>495000000</v>
      </c>
      <c r="F78" s="15">
        <v>1753000000</v>
      </c>
      <c r="G78" s="15">
        <v>1890000000</v>
      </c>
      <c r="H78" s="16"/>
      <c r="I78" s="16"/>
      <c r="J78" s="16"/>
      <c r="K78" s="16"/>
      <c r="L78" s="16"/>
    </row>
    <row r="79" spans="1:12" ht="15.6" x14ac:dyDescent="0.3">
      <c r="A79" s="11" t="s">
        <v>73</v>
      </c>
      <c r="D79" s="15">
        <v>13965000000</v>
      </c>
      <c r="E79" s="15">
        <v>15903000000</v>
      </c>
      <c r="F79" s="15">
        <v>14386000000</v>
      </c>
      <c r="G79" s="15">
        <v>14623000000</v>
      </c>
      <c r="H79" s="16"/>
      <c r="I79" s="16"/>
      <c r="J79" s="16"/>
      <c r="K79" s="16"/>
      <c r="L79" s="16"/>
    </row>
    <row r="80" spans="1:12" ht="15.6" x14ac:dyDescent="0.3">
      <c r="A80" s="11" t="s">
        <v>74</v>
      </c>
      <c r="D80" s="15">
        <v>22185000000</v>
      </c>
      <c r="E80" s="15">
        <v>29094000000</v>
      </c>
      <c r="F80" s="15">
        <v>36563000000</v>
      </c>
      <c r="G80" s="15">
        <v>44059000000</v>
      </c>
      <c r="H80" s="16"/>
      <c r="I80" s="16"/>
      <c r="J80" s="16"/>
      <c r="K80" s="16"/>
      <c r="L80" s="16"/>
    </row>
    <row r="81" spans="1:12" ht="15.6" x14ac:dyDescent="0.3">
      <c r="A81" s="11" t="s">
        <v>75</v>
      </c>
      <c r="D81" s="15">
        <v>5932000000</v>
      </c>
      <c r="E81" s="15">
        <v>12696000000</v>
      </c>
      <c r="F81" s="15">
        <v>20424000000</v>
      </c>
      <c r="G81" s="15">
        <v>27546000000</v>
      </c>
      <c r="H81" s="16"/>
      <c r="I81" s="16"/>
      <c r="J81" s="16"/>
      <c r="K81" s="16"/>
      <c r="L81" s="16"/>
    </row>
    <row r="82" spans="1:12" ht="15.6" x14ac:dyDescent="0.3">
      <c r="A82" s="11" t="s">
        <v>76</v>
      </c>
      <c r="D82" s="15">
        <v>2952000000</v>
      </c>
      <c r="E82" s="15">
        <v>3508000000</v>
      </c>
      <c r="F82" s="15">
        <v>4418000000</v>
      </c>
      <c r="G82" s="15">
        <v>4576000000</v>
      </c>
      <c r="H82" s="16"/>
      <c r="I82" s="16"/>
      <c r="J82" s="16"/>
      <c r="K82" s="16"/>
      <c r="L82" s="16"/>
    </row>
    <row r="83" spans="1:12" ht="15.6" x14ac:dyDescent="0.3">
      <c r="A83" s="11" t="s">
        <v>77</v>
      </c>
      <c r="D83" s="15">
        <v>2952000000</v>
      </c>
      <c r="E83" s="15">
        <v>3508000000</v>
      </c>
      <c r="F83" s="15">
        <v>4418000000</v>
      </c>
      <c r="G83" s="15">
        <v>4576000000</v>
      </c>
      <c r="H83" s="15">
        <f>H25/365*H15</f>
        <v>4247956066.279932</v>
      </c>
      <c r="I83" s="15">
        <f>I25/365*I15</f>
        <v>4586298116.4596672</v>
      </c>
      <c r="J83" s="15">
        <f>J25/365*J15</f>
        <v>4951588501.5877142</v>
      </c>
      <c r="K83" s="15">
        <f>K25/365*K15</f>
        <v>5345973608.0091953</v>
      </c>
      <c r="L83" s="15">
        <f>L25/365*L15</f>
        <v>5771770777.8760147</v>
      </c>
    </row>
    <row r="84" spans="1:12" ht="15.6" x14ac:dyDescent="0.3">
      <c r="A84" s="11" t="s">
        <v>78</v>
      </c>
      <c r="D84" s="15">
        <v>12839000000</v>
      </c>
      <c r="E84" s="15">
        <v>13626000000</v>
      </c>
      <c r="F84" s="15">
        <v>12017000000</v>
      </c>
      <c r="G84" s="15">
        <v>12392000000</v>
      </c>
      <c r="H84" s="15">
        <f>H27/365*H16</f>
        <v>14206620230.328693</v>
      </c>
      <c r="I84" s="15">
        <f>I27/365*I16</f>
        <v>15338151945.78348</v>
      </c>
      <c r="J84" s="15">
        <f>J27/365*J16</f>
        <v>16559808124.504114</v>
      </c>
      <c r="K84" s="15">
        <f>K27/365*K16</f>
        <v>17878767017.677025</v>
      </c>
      <c r="L84" s="15">
        <f>L27/365*L16</f>
        <v>19302778611.26775</v>
      </c>
    </row>
    <row r="85" spans="1:12" ht="15.6" x14ac:dyDescent="0.3">
      <c r="A85" s="11" t="s">
        <v>79</v>
      </c>
      <c r="D85" s="15">
        <v>6137000000</v>
      </c>
      <c r="E85" s="15">
        <v>5390000000</v>
      </c>
      <c r="F85" s="15">
        <v>5242000000</v>
      </c>
      <c r="G85" s="15">
        <v>4522000000</v>
      </c>
      <c r="H85" s="16"/>
      <c r="I85" s="16"/>
      <c r="J85" s="16"/>
      <c r="K85" s="16"/>
      <c r="L85" s="16"/>
    </row>
    <row r="86" spans="1:12" ht="15.6" x14ac:dyDescent="0.3">
      <c r="A86" s="11" t="s">
        <v>80</v>
      </c>
      <c r="D86" s="15">
        <v>2385000000</v>
      </c>
      <c r="E86" s="15">
        <v>2016000000</v>
      </c>
      <c r="F86" s="15">
        <v>1532000000</v>
      </c>
      <c r="G86" s="15">
        <v>1725000000</v>
      </c>
      <c r="H86" s="16"/>
      <c r="I86" s="16"/>
      <c r="J86" s="16"/>
      <c r="K86" s="16"/>
      <c r="L86" s="16"/>
    </row>
    <row r="87" spans="1:12" ht="15.6" x14ac:dyDescent="0.3">
      <c r="A87" s="11" t="s">
        <v>81</v>
      </c>
      <c r="D87" s="15">
        <v>3475000000</v>
      </c>
      <c r="E87" s="15">
        <v>5049000000</v>
      </c>
      <c r="F87" s="15">
        <v>3940000000</v>
      </c>
      <c r="G87" s="15">
        <v>4849000000</v>
      </c>
      <c r="H87" s="16"/>
      <c r="I87" s="16"/>
      <c r="J87" s="16"/>
      <c r="K87" s="16"/>
      <c r="L87" s="16"/>
    </row>
    <row r="88" spans="1:12" ht="15.6" x14ac:dyDescent="0.3">
      <c r="A88" s="11" t="s">
        <v>82</v>
      </c>
      <c r="D88" s="15">
        <v>842000000</v>
      </c>
      <c r="E88" s="15">
        <v>1171000000</v>
      </c>
      <c r="F88" s="15">
        <v>1303000000</v>
      </c>
      <c r="G88" s="15">
        <v>1296000000</v>
      </c>
      <c r="H88" s="16"/>
      <c r="I88" s="16"/>
      <c r="J88" s="16"/>
      <c r="K88" s="16"/>
      <c r="L88" s="16"/>
    </row>
    <row r="89" spans="1:12" ht="15.6" x14ac:dyDescent="0.3">
      <c r="A89" s="11" t="s">
        <v>83</v>
      </c>
      <c r="D89" s="15">
        <v>2941000000</v>
      </c>
      <c r="E89" s="15">
        <v>3388000000</v>
      </c>
      <c r="F89" s="15">
        <v>5362000000</v>
      </c>
      <c r="G89" s="15">
        <v>7615000000</v>
      </c>
      <c r="H89" s="16"/>
      <c r="I89" s="16"/>
      <c r="J89" s="16"/>
      <c r="K89" s="16"/>
      <c r="L89" s="16"/>
    </row>
    <row r="90" spans="1:12" ht="15.6" x14ac:dyDescent="0.3">
      <c r="A90" s="10" t="s">
        <v>84</v>
      </c>
      <c r="D90" s="14">
        <v>41421000000</v>
      </c>
      <c r="E90" s="14">
        <v>57003000000</v>
      </c>
      <c r="F90" s="14">
        <v>63715000000</v>
      </c>
      <c r="G90" s="14">
        <v>69158000000</v>
      </c>
      <c r="H90" s="16"/>
      <c r="I90" s="16"/>
      <c r="J90" s="16"/>
      <c r="K90" s="16"/>
      <c r="L90" s="16"/>
    </row>
    <row r="91" spans="1:12" ht="15.6" x14ac:dyDescent="0.3">
      <c r="A91" s="11" t="s">
        <v>85</v>
      </c>
      <c r="D91" s="15">
        <v>36635000000</v>
      </c>
      <c r="E91" s="15">
        <v>45124000000</v>
      </c>
      <c r="F91" s="15">
        <v>51506000000</v>
      </c>
      <c r="G91" s="15">
        <v>56180000000</v>
      </c>
      <c r="H91" s="15">
        <f>H226</f>
        <v>62814142832.014694</v>
      </c>
      <c r="I91" s="15">
        <f>I226</f>
        <v>69170679358.759186</v>
      </c>
      <c r="J91" s="15">
        <f>J226</f>
        <v>75261226041.120316</v>
      </c>
      <c r="K91" s="15">
        <f>K226</f>
        <v>81096913248.13118</v>
      </c>
      <c r="L91" s="15">
        <f>L226</f>
        <v>86688405597.528625</v>
      </c>
    </row>
    <row r="92" spans="1:12" ht="15.6" x14ac:dyDescent="0.3">
      <c r="A92" s="11" t="s">
        <v>86</v>
      </c>
      <c r="D92" s="15">
        <v>48134000000</v>
      </c>
      <c r="E92" s="15">
        <v>60201000000</v>
      </c>
      <c r="F92" s="15">
        <v>70404000000</v>
      </c>
      <c r="G92" s="15">
        <v>79623000000</v>
      </c>
      <c r="H92" s="16"/>
      <c r="I92" s="16"/>
      <c r="J92" s="16"/>
      <c r="K92" s="16"/>
      <c r="L92" s="16"/>
    </row>
    <row r="93" spans="1:12" ht="15.6" x14ac:dyDescent="0.3">
      <c r="A93" s="11" t="s">
        <v>87</v>
      </c>
      <c r="D93" s="15">
        <v>7751000000</v>
      </c>
      <c r="E93" s="15">
        <v>9498000000</v>
      </c>
      <c r="F93" s="15">
        <v>10677000000</v>
      </c>
      <c r="G93" s="15">
        <v>11837000000</v>
      </c>
      <c r="H93" s="16"/>
      <c r="I93" s="16"/>
      <c r="J93" s="16"/>
      <c r="K93" s="16"/>
      <c r="L93" s="16"/>
    </row>
    <row r="94" spans="1:12" ht="15.6" x14ac:dyDescent="0.3">
      <c r="A94" s="11" t="s">
        <v>88</v>
      </c>
      <c r="D94" s="15">
        <v>21705000000</v>
      </c>
      <c r="E94" s="15">
        <v>26087000000</v>
      </c>
      <c r="F94" s="15">
        <v>28271000000</v>
      </c>
      <c r="G94" s="15">
        <v>30190000000</v>
      </c>
      <c r="H94" s="16"/>
      <c r="I94" s="16"/>
      <c r="J94" s="16"/>
      <c r="K94" s="16"/>
      <c r="L94" s="16"/>
    </row>
    <row r="95" spans="1:12" ht="15.6" x14ac:dyDescent="0.3">
      <c r="A95" s="11" t="s">
        <v>89</v>
      </c>
      <c r="D95" s="15">
        <v>5142000000</v>
      </c>
      <c r="E95" s="15">
        <v>8819000000</v>
      </c>
      <c r="F95" s="15">
        <v>14195000000</v>
      </c>
      <c r="G95" s="15">
        <v>17711000000</v>
      </c>
      <c r="H95" s="16"/>
      <c r="I95" s="16"/>
      <c r="J95" s="16"/>
      <c r="K95" s="16"/>
      <c r="L95" s="16"/>
    </row>
    <row r="96" spans="1:12" ht="15.6" x14ac:dyDescent="0.3">
      <c r="A96" s="11" t="s">
        <v>90</v>
      </c>
      <c r="D96" s="15">
        <v>6889000000</v>
      </c>
      <c r="E96" s="15">
        <v>6870000000</v>
      </c>
      <c r="F96" s="15">
        <v>6790000000</v>
      </c>
      <c r="G96" s="15">
        <v>6660000000</v>
      </c>
      <c r="H96" s="16"/>
      <c r="I96" s="16"/>
      <c r="J96" s="16"/>
      <c r="K96" s="16"/>
      <c r="L96" s="16"/>
    </row>
    <row r="97" spans="1:12" ht="15.6" x14ac:dyDescent="0.3">
      <c r="A97" s="11" t="s">
        <v>91</v>
      </c>
      <c r="D97" s="15">
        <v>4281000000</v>
      </c>
      <c r="E97" s="15">
        <v>5791000000</v>
      </c>
      <c r="F97" s="15">
        <v>6783000000</v>
      </c>
      <c r="G97" s="15">
        <v>8786000000</v>
      </c>
      <c r="H97" s="16"/>
      <c r="I97" s="16"/>
      <c r="J97" s="16"/>
      <c r="K97" s="16"/>
      <c r="L97" s="16"/>
    </row>
    <row r="98" spans="1:12" ht="15.6" x14ac:dyDescent="0.3">
      <c r="A98" s="11" t="s">
        <v>92</v>
      </c>
      <c r="D98" s="15">
        <v>2366000000</v>
      </c>
      <c r="E98" s="15">
        <v>3136000000</v>
      </c>
      <c r="F98" s="15">
        <v>3688000000</v>
      </c>
      <c r="G98" s="15">
        <v>4439000000</v>
      </c>
      <c r="H98" s="16"/>
      <c r="I98" s="16"/>
      <c r="J98" s="16"/>
      <c r="K98" s="16"/>
      <c r="L98" s="16"/>
    </row>
    <row r="99" spans="1:12" ht="15.6" x14ac:dyDescent="0.3">
      <c r="A99" s="11" t="s">
        <v>93</v>
      </c>
      <c r="D99" s="15">
        <v>-11499000000</v>
      </c>
      <c r="E99" s="15">
        <v>-15077000000</v>
      </c>
      <c r="F99" s="15">
        <v>-18898000000</v>
      </c>
      <c r="G99" s="15">
        <v>-23443000000</v>
      </c>
      <c r="H99" s="16"/>
      <c r="I99" s="16"/>
      <c r="J99" s="16"/>
      <c r="K99" s="16"/>
      <c r="L99" s="16"/>
    </row>
    <row r="100" spans="1:12" ht="15.6" x14ac:dyDescent="0.3">
      <c r="A100" s="11" t="s">
        <v>94</v>
      </c>
      <c r="D100" s="15">
        <v>593000000</v>
      </c>
      <c r="E100" s="15">
        <v>615000000</v>
      </c>
      <c r="F100" s="15">
        <v>1470000000</v>
      </c>
      <c r="G100" s="15">
        <v>1389000000</v>
      </c>
      <c r="H100" s="16"/>
      <c r="I100" s="16"/>
      <c r="J100" s="16"/>
      <c r="K100" s="16"/>
      <c r="L100" s="16"/>
    </row>
    <row r="101" spans="1:12" ht="15.6" x14ac:dyDescent="0.3">
      <c r="A101" s="11" t="s">
        <v>95</v>
      </c>
      <c r="D101" s="15">
        <v>194000000</v>
      </c>
      <c r="E101" s="15">
        <v>253000000</v>
      </c>
      <c r="F101" s="15">
        <v>244000000</v>
      </c>
      <c r="G101" s="15">
        <v>257000000</v>
      </c>
      <c r="H101" s="16"/>
      <c r="I101" s="16"/>
      <c r="J101" s="16"/>
      <c r="K101" s="16"/>
      <c r="L101" s="16"/>
    </row>
    <row r="102" spans="1:12" ht="15.6" x14ac:dyDescent="0.3">
      <c r="A102" s="11" t="s">
        <v>96</v>
      </c>
      <c r="D102" s="15">
        <v>399000000</v>
      </c>
      <c r="E102" s="15">
        <v>362000000</v>
      </c>
      <c r="F102" s="15">
        <v>1226000000</v>
      </c>
      <c r="G102" s="15">
        <v>1132000000</v>
      </c>
      <c r="H102" s="16"/>
      <c r="I102" s="16"/>
      <c r="J102" s="16"/>
      <c r="K102" s="16"/>
      <c r="L102" s="16"/>
    </row>
    <row r="103" spans="1:12" ht="15.6" x14ac:dyDescent="0.3">
      <c r="A103" s="11" t="s">
        <v>97</v>
      </c>
      <c r="D103" s="15">
        <v>328000000</v>
      </c>
      <c r="E103" s="15">
        <v>6733000000</v>
      </c>
      <c r="F103" s="15">
        <v>6524000000</v>
      </c>
      <c r="G103" s="15">
        <v>6925000000</v>
      </c>
      <c r="H103" s="16"/>
      <c r="I103" s="16"/>
      <c r="J103" s="16"/>
      <c r="K103" s="16"/>
      <c r="L103" s="16"/>
    </row>
    <row r="104" spans="1:12" ht="15.6" x14ac:dyDescent="0.3">
      <c r="A104" s="11" t="s">
        <v>98</v>
      </c>
      <c r="D104" s="15">
        <v>328000000</v>
      </c>
      <c r="E104" s="15">
        <v>6733000000</v>
      </c>
      <c r="F104" s="15">
        <v>6524000000</v>
      </c>
      <c r="G104" s="15">
        <v>6925000000</v>
      </c>
      <c r="H104" s="16"/>
      <c r="I104" s="16"/>
      <c r="J104" s="16"/>
      <c r="K104" s="16"/>
      <c r="L104" s="16"/>
    </row>
    <row r="105" spans="1:12" ht="15.6" x14ac:dyDescent="0.3">
      <c r="A105" s="11" t="s">
        <v>99</v>
      </c>
      <c r="D105" s="15">
        <v>3865000000</v>
      </c>
      <c r="E105" s="15">
        <v>4531000000</v>
      </c>
      <c r="F105" s="15">
        <v>4215000000</v>
      </c>
      <c r="G105" s="15">
        <v>4664000000</v>
      </c>
      <c r="H105" s="16"/>
      <c r="I105" s="16"/>
      <c r="J105" s="16"/>
      <c r="K105" s="16"/>
      <c r="L105" s="16"/>
    </row>
    <row r="106" spans="1:12" ht="15.6" x14ac:dyDescent="0.3">
      <c r="A106" s="10" t="s">
        <v>100</v>
      </c>
      <c r="D106" s="14">
        <v>36440000000</v>
      </c>
      <c r="E106" s="14">
        <v>43009000000</v>
      </c>
      <c r="F106" s="14">
        <v>48390000000</v>
      </c>
      <c r="G106" s="14">
        <v>54941000000</v>
      </c>
      <c r="H106" s="16"/>
      <c r="I106" s="16"/>
      <c r="J106" s="16"/>
      <c r="K106" s="16"/>
      <c r="L106" s="16"/>
    </row>
    <row r="107" spans="1:12" ht="15.6" x14ac:dyDescent="0.3">
      <c r="A107" s="10" t="s">
        <v>101</v>
      </c>
      <c r="D107" s="14">
        <v>26709000000</v>
      </c>
      <c r="E107" s="14">
        <v>28748000000</v>
      </c>
      <c r="F107" s="14">
        <v>28821000000</v>
      </c>
      <c r="G107" s="14">
        <v>31714000000</v>
      </c>
      <c r="H107" s="16"/>
      <c r="I107" s="16"/>
      <c r="J107" s="16"/>
      <c r="K107" s="16"/>
      <c r="L107" s="16"/>
    </row>
    <row r="108" spans="1:12" ht="15.6" x14ac:dyDescent="0.3">
      <c r="A108" s="11" t="s">
        <v>102</v>
      </c>
      <c r="D108" s="15">
        <v>15255000000</v>
      </c>
      <c r="E108" s="15">
        <v>14431000000</v>
      </c>
      <c r="F108" s="15">
        <v>12474000000</v>
      </c>
      <c r="G108" s="15">
        <v>13371000000</v>
      </c>
      <c r="H108" s="15">
        <f>H27/365*H17</f>
        <v>15606837277.117899</v>
      </c>
      <c r="I108" s="15">
        <f>I27/365*I17</f>
        <v>16849893758.581423</v>
      </c>
      <c r="J108" s="15">
        <f>J27/365*J17</f>
        <v>18191957450.069111</v>
      </c>
      <c r="K108" s="15">
        <f>K27/365*K17</f>
        <v>19640914097.549011</v>
      </c>
      <c r="L108" s="15">
        <f>L27/365*L17</f>
        <v>21205277532.453442</v>
      </c>
    </row>
    <row r="109" spans="1:12" ht="15.6" x14ac:dyDescent="0.3">
      <c r="A109" s="11" t="s">
        <v>103</v>
      </c>
      <c r="D109" s="15">
        <v>20263000000</v>
      </c>
      <c r="E109" s="15">
        <v>19681000000</v>
      </c>
      <c r="F109" s="15">
        <v>17626000000</v>
      </c>
      <c r="G109" s="15">
        <v>19449000000</v>
      </c>
      <c r="H109" s="16"/>
      <c r="I109" s="16"/>
      <c r="J109" s="16"/>
      <c r="K109" s="16"/>
      <c r="L109" s="16"/>
    </row>
    <row r="110" spans="1:12" ht="15.6" x14ac:dyDescent="0.3">
      <c r="A110" s="11" t="s">
        <v>104</v>
      </c>
      <c r="D110" s="15">
        <v>16490000000</v>
      </c>
      <c r="E110" s="15">
        <v>15635000000</v>
      </c>
      <c r="F110" s="15">
        <v>13841000000</v>
      </c>
      <c r="G110" s="15">
        <v>14965000000</v>
      </c>
      <c r="H110" s="16"/>
      <c r="I110" s="16"/>
      <c r="J110" s="16"/>
      <c r="K110" s="16"/>
      <c r="L110" s="16"/>
    </row>
    <row r="111" spans="1:12" ht="15.6" x14ac:dyDescent="0.3">
      <c r="A111" s="11" t="s">
        <v>105</v>
      </c>
      <c r="D111" s="15">
        <v>3773000000</v>
      </c>
      <c r="E111" s="15">
        <v>4046000000</v>
      </c>
      <c r="F111" s="15">
        <v>3785000000</v>
      </c>
      <c r="G111" s="15">
        <v>4484000000</v>
      </c>
      <c r="H111" s="16"/>
      <c r="I111" s="16"/>
      <c r="J111" s="16"/>
      <c r="K111" s="16"/>
      <c r="L111" s="16"/>
    </row>
    <row r="112" spans="1:12" ht="15.6" x14ac:dyDescent="0.3">
      <c r="A112" s="11" t="s">
        <v>106</v>
      </c>
      <c r="D112" s="15">
        <v>1235000000</v>
      </c>
      <c r="E112" s="15">
        <v>1204000000</v>
      </c>
      <c r="F112" s="15">
        <v>1367000000</v>
      </c>
      <c r="G112" s="15">
        <v>1594000000</v>
      </c>
      <c r="H112" s="16"/>
      <c r="I112" s="16"/>
      <c r="J112" s="16"/>
      <c r="K112" s="16"/>
      <c r="L112" s="16"/>
    </row>
    <row r="113" spans="1:12" ht="15.6" x14ac:dyDescent="0.3">
      <c r="A113" s="11" t="s">
        <v>107</v>
      </c>
      <c r="D113" s="15">
        <v>1987000000</v>
      </c>
      <c r="E113" s="15">
        <v>3045000000</v>
      </c>
      <c r="F113" s="15">
        <v>3263000000</v>
      </c>
      <c r="G113" s="15">
        <v>2594000000</v>
      </c>
      <c r="H113" s="16"/>
      <c r="I113" s="16"/>
      <c r="J113" s="16"/>
      <c r="K113" s="16"/>
      <c r="L113" s="16"/>
    </row>
    <row r="114" spans="1:12" ht="15.6" x14ac:dyDescent="0.3">
      <c r="A114" s="11" t="s">
        <v>108</v>
      </c>
      <c r="D114" s="15">
        <v>1016000000</v>
      </c>
      <c r="E114" s="15">
        <v>1975000000</v>
      </c>
      <c r="F114" s="15">
        <v>2343000000</v>
      </c>
      <c r="G114" s="15">
        <v>1569000000</v>
      </c>
      <c r="H114" s="16"/>
      <c r="I114" s="16"/>
      <c r="J114" s="16"/>
      <c r="K114" s="16"/>
      <c r="L114" s="16"/>
    </row>
    <row r="115" spans="1:12" ht="15.6" x14ac:dyDescent="0.3">
      <c r="A115" s="11" t="s">
        <v>109</v>
      </c>
      <c r="D115" s="15">
        <v>1016000000</v>
      </c>
      <c r="E115" s="15">
        <v>1975000000</v>
      </c>
      <c r="F115" s="15">
        <v>2343000000</v>
      </c>
      <c r="G115" s="15">
        <v>1569000000</v>
      </c>
      <c r="H115" s="16"/>
      <c r="I115" s="16"/>
      <c r="J115" s="16"/>
      <c r="K115" s="16"/>
      <c r="L115" s="16"/>
    </row>
    <row r="116" spans="1:12" ht="15.6" x14ac:dyDescent="0.3">
      <c r="A116" s="11" t="s">
        <v>110</v>
      </c>
      <c r="D116" s="15">
        <v>0</v>
      </c>
      <c r="E116" s="15">
        <v>0</v>
      </c>
      <c r="F116" s="15">
        <v>0</v>
      </c>
      <c r="G116" s="15">
        <v>0</v>
      </c>
      <c r="H116" s="16"/>
      <c r="I116" s="16"/>
      <c r="J116" s="16"/>
      <c r="K116" s="16"/>
      <c r="L116" s="16"/>
    </row>
    <row r="117" spans="1:12" ht="15.6" x14ac:dyDescent="0.3">
      <c r="A117" s="11" t="s">
        <v>111</v>
      </c>
      <c r="D117" s="15">
        <v>971000000</v>
      </c>
      <c r="E117" s="15">
        <v>1070000000</v>
      </c>
      <c r="F117" s="15">
        <v>920000000</v>
      </c>
      <c r="G117" s="15">
        <v>1025000000</v>
      </c>
      <c r="H117" s="16"/>
      <c r="I117" s="16"/>
      <c r="J117" s="16"/>
      <c r="K117" s="16"/>
      <c r="L117" s="16"/>
    </row>
    <row r="118" spans="1:12" ht="15.6" x14ac:dyDescent="0.3">
      <c r="A118" s="11" t="s">
        <v>112</v>
      </c>
      <c r="D118" s="15">
        <v>2810000000</v>
      </c>
      <c r="E118" s="15">
        <v>3740000000</v>
      </c>
      <c r="F118" s="15">
        <v>4161000000</v>
      </c>
      <c r="G118" s="15">
        <v>4735000000</v>
      </c>
      <c r="H118" s="16"/>
      <c r="I118" s="16"/>
      <c r="J118" s="16"/>
      <c r="K118" s="16"/>
      <c r="L118" s="16"/>
    </row>
    <row r="119" spans="1:12" ht="15.6" x14ac:dyDescent="0.3">
      <c r="A119" s="11" t="s">
        <v>113</v>
      </c>
      <c r="D119" s="15">
        <v>2810000000</v>
      </c>
      <c r="E119" s="15">
        <v>3740000000</v>
      </c>
      <c r="F119" s="15">
        <v>4161000000</v>
      </c>
      <c r="G119" s="15">
        <v>4735000000</v>
      </c>
      <c r="H119" s="16"/>
      <c r="I119" s="16"/>
      <c r="J119" s="16"/>
      <c r="K119" s="16"/>
      <c r="L119" s="16"/>
    </row>
    <row r="120" spans="1:12" ht="15.6" x14ac:dyDescent="0.3">
      <c r="A120" s="11" t="s">
        <v>114</v>
      </c>
      <c r="D120" s="15">
        <v>1295000000</v>
      </c>
      <c r="E120" s="15">
        <v>1765000000</v>
      </c>
      <c r="F120" s="15">
        <v>2222000000</v>
      </c>
      <c r="G120" s="15">
        <v>3004000000</v>
      </c>
      <c r="H120" s="16"/>
      <c r="I120" s="16"/>
      <c r="J120" s="16"/>
      <c r="K120" s="16"/>
      <c r="L120" s="16"/>
    </row>
    <row r="121" spans="1:12" ht="15.6" x14ac:dyDescent="0.3">
      <c r="A121" s="11" t="s">
        <v>115</v>
      </c>
      <c r="D121" s="15">
        <v>354000000</v>
      </c>
      <c r="E121" s="15">
        <v>517000000</v>
      </c>
      <c r="F121" s="15">
        <v>1549000000</v>
      </c>
      <c r="G121" s="15">
        <v>1932000000</v>
      </c>
      <c r="H121" s="16"/>
      <c r="I121" s="16"/>
      <c r="J121" s="16"/>
      <c r="K121" s="16"/>
      <c r="L121" s="16"/>
    </row>
    <row r="122" spans="1:12" ht="15.6" x14ac:dyDescent="0.3">
      <c r="A122" s="10" t="s">
        <v>116</v>
      </c>
      <c r="D122" s="14">
        <v>9731000000</v>
      </c>
      <c r="E122" s="14">
        <v>14261000000</v>
      </c>
      <c r="F122" s="14">
        <v>19569000000</v>
      </c>
      <c r="G122" s="14">
        <v>23227000000</v>
      </c>
      <c r="H122" s="16"/>
      <c r="I122" s="16"/>
      <c r="J122" s="16"/>
      <c r="K122" s="16"/>
      <c r="L122" s="16"/>
    </row>
    <row r="123" spans="1:12" ht="15.6" x14ac:dyDescent="0.3">
      <c r="A123" s="11" t="s">
        <v>117</v>
      </c>
      <c r="D123" s="15">
        <v>3761000000</v>
      </c>
      <c r="E123" s="15">
        <v>6528000000</v>
      </c>
      <c r="F123" s="15">
        <v>10360000000</v>
      </c>
      <c r="G123" s="15">
        <v>12125000000</v>
      </c>
      <c r="H123" s="16"/>
      <c r="I123" s="16"/>
      <c r="J123" s="16"/>
      <c r="K123" s="16"/>
      <c r="L123" s="16"/>
    </row>
    <row r="124" spans="1:12" ht="15.6" x14ac:dyDescent="0.3">
      <c r="A124" s="11" t="s">
        <v>118</v>
      </c>
      <c r="D124" s="15">
        <v>1029000000</v>
      </c>
      <c r="E124" s="15">
        <v>2682000000</v>
      </c>
      <c r="F124" s="15">
        <v>5535000000</v>
      </c>
      <c r="G124" s="15">
        <v>6584000000</v>
      </c>
      <c r="H124" s="16"/>
      <c r="I124" s="16"/>
      <c r="J124" s="16"/>
      <c r="K124" s="16"/>
      <c r="L124" s="16"/>
    </row>
    <row r="125" spans="1:12" ht="15.6" x14ac:dyDescent="0.3">
      <c r="A125" s="11" t="s">
        <v>119</v>
      </c>
      <c r="D125" s="15">
        <v>2732000000</v>
      </c>
      <c r="E125" s="15">
        <v>3846000000</v>
      </c>
      <c r="F125" s="15">
        <v>4825000000</v>
      </c>
      <c r="G125" s="15">
        <v>5541000000</v>
      </c>
      <c r="H125" s="16"/>
      <c r="I125" s="16"/>
      <c r="J125" s="16"/>
      <c r="K125" s="16"/>
      <c r="L125" s="16"/>
    </row>
    <row r="126" spans="1:12" ht="15.6" x14ac:dyDescent="0.3">
      <c r="A126" s="11" t="s">
        <v>120</v>
      </c>
      <c r="D126" s="15">
        <v>2480000000</v>
      </c>
      <c r="E126" s="15">
        <v>3606000000</v>
      </c>
      <c r="F126" s="15">
        <v>4799000000</v>
      </c>
      <c r="G126" s="15">
        <v>6132000000</v>
      </c>
      <c r="H126" s="16"/>
      <c r="I126" s="16"/>
      <c r="J126" s="16"/>
      <c r="K126" s="16"/>
      <c r="L126" s="16"/>
    </row>
    <row r="127" spans="1:12" ht="15.6" x14ac:dyDescent="0.3">
      <c r="A127" s="11" t="s">
        <v>121</v>
      </c>
      <c r="D127" s="15">
        <v>2804000000</v>
      </c>
      <c r="E127" s="15">
        <v>3251000000</v>
      </c>
      <c r="F127" s="15">
        <v>3317000000</v>
      </c>
      <c r="G127" s="15">
        <v>3631000000</v>
      </c>
      <c r="H127" s="16"/>
      <c r="I127" s="16"/>
      <c r="J127" s="16"/>
      <c r="K127" s="16"/>
      <c r="L127" s="16"/>
    </row>
    <row r="128" spans="1:12" ht="15.6" x14ac:dyDescent="0.3">
      <c r="A128" s="11" t="s">
        <v>122</v>
      </c>
      <c r="D128" s="15">
        <v>82000000</v>
      </c>
      <c r="E128" s="16"/>
      <c r="F128" s="16"/>
      <c r="G128" s="16"/>
      <c r="H128" s="16"/>
      <c r="I128" s="16"/>
      <c r="J128" s="16"/>
      <c r="K128" s="16"/>
      <c r="L128" s="16"/>
    </row>
    <row r="129" spans="1:12" ht="15.6" x14ac:dyDescent="0.3">
      <c r="A129" s="11" t="s">
        <v>123</v>
      </c>
      <c r="D129" s="15">
        <v>2804000000</v>
      </c>
      <c r="E129" s="15">
        <v>3251000000</v>
      </c>
      <c r="F129" s="15">
        <v>3317000000</v>
      </c>
      <c r="G129" s="15">
        <v>3631000000</v>
      </c>
      <c r="H129" s="16"/>
      <c r="I129" s="16"/>
      <c r="J129" s="16"/>
      <c r="K129" s="16"/>
      <c r="L129" s="16"/>
    </row>
    <row r="130" spans="1:12" ht="15.6" x14ac:dyDescent="0.3">
      <c r="A130" s="11" t="s">
        <v>124</v>
      </c>
      <c r="D130" s="15">
        <v>2480000000</v>
      </c>
      <c r="E130" s="15">
        <v>3606000000</v>
      </c>
      <c r="F130" s="16"/>
      <c r="G130" s="16"/>
      <c r="H130" s="16"/>
      <c r="I130" s="16"/>
      <c r="J130" s="16"/>
      <c r="K130" s="16"/>
      <c r="L130" s="16"/>
    </row>
    <row r="131" spans="1:12" ht="15.6" x14ac:dyDescent="0.3">
      <c r="A131" s="11" t="s">
        <v>125</v>
      </c>
      <c r="D131" s="15">
        <v>686000000</v>
      </c>
      <c r="E131" s="15">
        <v>876000000</v>
      </c>
      <c r="F131" s="15">
        <v>1093000000</v>
      </c>
      <c r="G131" s="15">
        <v>1339000000</v>
      </c>
      <c r="H131" s="16"/>
      <c r="I131" s="16"/>
      <c r="J131" s="16"/>
      <c r="K131" s="16"/>
      <c r="L131" s="16"/>
    </row>
    <row r="132" spans="1:12" ht="15.6" x14ac:dyDescent="0.3">
      <c r="A132" s="10" t="s">
        <v>126</v>
      </c>
      <c r="D132" s="14">
        <v>45898000000</v>
      </c>
      <c r="E132" s="14">
        <v>63609000000</v>
      </c>
      <c r="F132" s="14">
        <v>73680000000</v>
      </c>
      <c r="G132" s="14">
        <v>82865000000</v>
      </c>
      <c r="H132" s="16"/>
      <c r="I132" s="16"/>
      <c r="J132" s="16"/>
      <c r="K132" s="16"/>
      <c r="L132" s="16"/>
    </row>
    <row r="133" spans="1:12" ht="15.6" x14ac:dyDescent="0.3">
      <c r="A133" s="10" t="s">
        <v>127</v>
      </c>
      <c r="D133" s="14">
        <v>44704000000</v>
      </c>
      <c r="E133" s="14">
        <v>62634000000</v>
      </c>
      <c r="F133" s="14">
        <v>72913000000</v>
      </c>
      <c r="G133" s="14">
        <v>82137000000</v>
      </c>
      <c r="H133" s="16"/>
      <c r="I133" s="16"/>
      <c r="J133" s="16"/>
      <c r="K133" s="16"/>
      <c r="L133" s="16"/>
    </row>
    <row r="134" spans="1:12" ht="15.6" x14ac:dyDescent="0.3">
      <c r="A134" s="11" t="s">
        <v>128</v>
      </c>
      <c r="D134" s="15">
        <v>44704000000</v>
      </c>
      <c r="E134" s="15">
        <v>62634000000</v>
      </c>
      <c r="F134" s="15">
        <v>72913000000</v>
      </c>
      <c r="G134" s="15">
        <v>82137000000</v>
      </c>
      <c r="H134" s="16"/>
      <c r="I134" s="16"/>
      <c r="J134" s="16"/>
      <c r="K134" s="16"/>
      <c r="L134" s="16"/>
    </row>
    <row r="135" spans="1:12" ht="15.6" x14ac:dyDescent="0.3">
      <c r="A135" s="11" t="s">
        <v>129</v>
      </c>
      <c r="D135" s="15">
        <v>3000000</v>
      </c>
      <c r="E135" s="15">
        <v>3000000</v>
      </c>
      <c r="F135" s="15">
        <v>3000000</v>
      </c>
      <c r="G135" s="15">
        <v>3000000</v>
      </c>
      <c r="H135" s="16"/>
      <c r="I135" s="16"/>
      <c r="J135" s="16"/>
      <c r="K135" s="16"/>
      <c r="L135" s="16"/>
    </row>
    <row r="136" spans="1:12" ht="15.6" x14ac:dyDescent="0.3">
      <c r="A136" s="11" t="s">
        <v>130</v>
      </c>
      <c r="D136" s="15">
        <v>3000000</v>
      </c>
      <c r="E136" s="15">
        <v>3000000</v>
      </c>
      <c r="F136" s="15">
        <v>3000000</v>
      </c>
      <c r="G136" s="15">
        <v>3000000</v>
      </c>
      <c r="H136" s="16"/>
      <c r="I136" s="16"/>
      <c r="J136" s="16"/>
      <c r="K136" s="16"/>
      <c r="L136" s="16"/>
    </row>
    <row r="137" spans="1:12" ht="15.6" x14ac:dyDescent="0.3">
      <c r="A137" s="11" t="s">
        <v>131</v>
      </c>
      <c r="D137" s="15">
        <v>0</v>
      </c>
      <c r="E137" s="15">
        <v>0</v>
      </c>
      <c r="F137" s="15">
        <v>0</v>
      </c>
      <c r="G137" s="15">
        <v>0</v>
      </c>
      <c r="H137" s="16"/>
      <c r="I137" s="16"/>
      <c r="J137" s="16"/>
      <c r="K137" s="16"/>
      <c r="L137" s="16"/>
    </row>
    <row r="138" spans="1:12" ht="15.6" x14ac:dyDescent="0.3">
      <c r="A138" s="11" t="s">
        <v>132</v>
      </c>
      <c r="D138" s="15">
        <v>32177000000</v>
      </c>
      <c r="E138" s="15">
        <v>34892000000</v>
      </c>
      <c r="F138" s="15">
        <v>38371000000</v>
      </c>
      <c r="G138" s="15">
        <v>42770000000</v>
      </c>
      <c r="H138" s="16"/>
      <c r="I138" s="16"/>
      <c r="J138" s="16"/>
      <c r="K138" s="16"/>
      <c r="L138" s="16"/>
    </row>
    <row r="139" spans="1:12" ht="15.6" x14ac:dyDescent="0.3">
      <c r="A139" s="11" t="s">
        <v>133</v>
      </c>
      <c r="D139" s="15">
        <v>12885000000</v>
      </c>
      <c r="E139" s="15">
        <v>27882000000</v>
      </c>
      <c r="F139" s="15">
        <v>35209000000</v>
      </c>
      <c r="G139" s="15">
        <v>39003000000</v>
      </c>
      <c r="H139" s="15">
        <f>G139+H48</f>
        <v>43288489407.886223</v>
      </c>
      <c r="I139" s="15">
        <f>H139+I48</f>
        <v>47863934640.598557</v>
      </c>
      <c r="J139" s="15">
        <f>I139+J48</f>
        <v>52778506192.808693</v>
      </c>
      <c r="K139" s="15">
        <f>J139+K48</f>
        <v>58084216295.882317</v>
      </c>
      <c r="L139" s="15">
        <f>K139+L48</f>
        <v>63836190224.01738</v>
      </c>
    </row>
    <row r="140" spans="1:12" ht="15.6" x14ac:dyDescent="0.3">
      <c r="A140" s="11" t="s">
        <v>134</v>
      </c>
      <c r="D140" s="15">
        <v>-361000000</v>
      </c>
      <c r="E140" s="15">
        <v>-143000000</v>
      </c>
      <c r="F140" s="15">
        <v>-670000000</v>
      </c>
      <c r="G140" s="15">
        <v>361000000</v>
      </c>
      <c r="H140" s="16"/>
      <c r="I140" s="16"/>
      <c r="J140" s="16"/>
      <c r="K140" s="16"/>
      <c r="L140" s="16"/>
    </row>
    <row r="141" spans="1:12" ht="15.6" x14ac:dyDescent="0.3">
      <c r="A141" s="11" t="s">
        <v>135</v>
      </c>
      <c r="D141" s="15">
        <v>-361000000</v>
      </c>
      <c r="E141" s="15">
        <v>-143000000</v>
      </c>
      <c r="F141" s="15">
        <v>-670000000</v>
      </c>
      <c r="G141" s="15">
        <v>361000000</v>
      </c>
      <c r="H141" s="16"/>
      <c r="I141" s="16"/>
      <c r="J141" s="16"/>
      <c r="K141" s="16"/>
      <c r="L141" s="16"/>
    </row>
    <row r="142" spans="1:12" ht="15.6" x14ac:dyDescent="0.3">
      <c r="A142" s="11" t="s">
        <v>136</v>
      </c>
      <c r="D142" s="15">
        <v>1194000000</v>
      </c>
      <c r="E142" s="15">
        <v>975000000</v>
      </c>
      <c r="F142" s="15">
        <v>767000000</v>
      </c>
      <c r="G142" s="15">
        <v>728000000</v>
      </c>
      <c r="H142" s="16"/>
      <c r="I142" s="16"/>
      <c r="J142" s="16"/>
      <c r="K142" s="16"/>
      <c r="L142" s="16"/>
    </row>
    <row r="143" spans="1:12" ht="15.6" x14ac:dyDescent="0.3">
      <c r="A143" s="10" t="s">
        <v>137</v>
      </c>
      <c r="D143" s="14">
        <v>5748000000</v>
      </c>
      <c r="E143" s="14">
        <v>9573000000</v>
      </c>
      <c r="F143" s="14">
        <v>13623000000</v>
      </c>
      <c r="G143" s="14">
        <v>14719000000</v>
      </c>
      <c r="H143" s="17">
        <f>H231</f>
        <v>14981250000</v>
      </c>
      <c r="I143" s="17">
        <f>I231</f>
        <v>15243500000</v>
      </c>
      <c r="J143" s="17">
        <f>J231</f>
        <v>15505750000</v>
      </c>
      <c r="K143" s="17">
        <f>K231</f>
        <v>15768000000</v>
      </c>
      <c r="L143" s="17">
        <f>L231</f>
        <v>16030250000</v>
      </c>
    </row>
    <row r="144" spans="1:12" ht="15.6" x14ac:dyDescent="0.3">
      <c r="A144" s="10" t="s">
        <v>138</v>
      </c>
      <c r="D144" s="13">
        <v>45733000000</v>
      </c>
      <c r="E144" s="13">
        <v>65316000000</v>
      </c>
      <c r="F144" s="13">
        <v>78448000000</v>
      </c>
      <c r="G144" s="13">
        <v>88721000000</v>
      </c>
      <c r="H144" s="16"/>
      <c r="I144" s="16"/>
      <c r="J144" s="16"/>
      <c r="K144" s="16"/>
      <c r="L144" s="16"/>
    </row>
    <row r="145" spans="1:12" ht="15.6" x14ac:dyDescent="0.3">
      <c r="A145" s="10" t="s">
        <v>139</v>
      </c>
      <c r="D145" s="13">
        <v>46749000000</v>
      </c>
      <c r="E145" s="13">
        <v>67291000000</v>
      </c>
      <c r="F145" s="13">
        <v>80791000000</v>
      </c>
      <c r="G145" s="13">
        <v>90290000000</v>
      </c>
      <c r="H145" s="16"/>
      <c r="I145" s="16"/>
      <c r="J145" s="16"/>
      <c r="K145" s="16"/>
      <c r="L145" s="16"/>
    </row>
    <row r="146" spans="1:12" ht="15.6" x14ac:dyDescent="0.3">
      <c r="A146" s="10" t="s">
        <v>140</v>
      </c>
      <c r="D146" s="13">
        <v>44111000000</v>
      </c>
      <c r="E146" s="13">
        <v>62019000000</v>
      </c>
      <c r="F146" s="13">
        <v>71443000000</v>
      </c>
      <c r="G146" s="13">
        <v>80748000000</v>
      </c>
      <c r="H146" s="16"/>
      <c r="I146" s="16"/>
      <c r="J146" s="16"/>
      <c r="K146" s="16"/>
      <c r="L146" s="16"/>
    </row>
    <row r="147" spans="1:12" ht="15.6" x14ac:dyDescent="0.3">
      <c r="A147" s="10" t="s">
        <v>141</v>
      </c>
      <c r="D147" s="13">
        <v>44111000000</v>
      </c>
      <c r="E147" s="13">
        <v>62019000000</v>
      </c>
      <c r="F147" s="13">
        <v>71443000000</v>
      </c>
      <c r="G147" s="13">
        <v>80748000000</v>
      </c>
      <c r="H147" s="16"/>
      <c r="I147" s="16"/>
      <c r="J147" s="16"/>
      <c r="K147" s="16"/>
      <c r="L147" s="16"/>
    </row>
    <row r="148" spans="1:12" ht="15.6" x14ac:dyDescent="0.3">
      <c r="A148" s="10" t="s">
        <v>142</v>
      </c>
      <c r="D148" s="13">
        <v>14208000000</v>
      </c>
      <c r="E148" s="13">
        <v>20868000000</v>
      </c>
      <c r="F148" s="13">
        <v>29539000000</v>
      </c>
      <c r="G148" s="13">
        <v>36928000000</v>
      </c>
      <c r="H148" s="16"/>
      <c r="I148" s="16"/>
      <c r="J148" s="16"/>
      <c r="K148" s="16"/>
      <c r="L148" s="16"/>
    </row>
    <row r="149" spans="1:12" ht="15.6" x14ac:dyDescent="0.3">
      <c r="A149" s="10" t="s">
        <v>143</v>
      </c>
      <c r="D149" s="13">
        <v>3164000000</v>
      </c>
      <c r="E149" s="13">
        <v>3185000000</v>
      </c>
      <c r="F149" s="13">
        <v>3216000000</v>
      </c>
      <c r="G149" s="13">
        <v>3751000000</v>
      </c>
      <c r="H149" s="16"/>
      <c r="I149" s="16"/>
      <c r="J149" s="16"/>
      <c r="K149" s="16"/>
      <c r="L149" s="16"/>
    </row>
    <row r="150" spans="1:12" ht="15.6" x14ac:dyDescent="0.3">
      <c r="A150" s="10" t="s">
        <v>144</v>
      </c>
      <c r="D150" s="13">
        <v>3164000000</v>
      </c>
      <c r="E150" s="13">
        <v>3185000000</v>
      </c>
      <c r="F150" s="13">
        <v>3216000000</v>
      </c>
      <c r="G150" s="13">
        <v>3751000000</v>
      </c>
      <c r="H150" s="16"/>
      <c r="I150" s="16"/>
      <c r="J150" s="16"/>
      <c r="K150" s="16"/>
      <c r="L150" s="16"/>
    </row>
    <row r="151" spans="1:12" ht="15.6" x14ac:dyDescent="0.3">
      <c r="A151" s="10" t="s">
        <v>145</v>
      </c>
      <c r="D151" s="16"/>
      <c r="E151" s="14">
        <v>0</v>
      </c>
      <c r="F151" s="16"/>
      <c r="G151" s="16"/>
      <c r="H151" s="16"/>
      <c r="I151" s="16"/>
      <c r="J151" s="16"/>
      <c r="K151" s="16"/>
      <c r="L151" s="16"/>
    </row>
    <row r="153" spans="1:12" ht="15.6" x14ac:dyDescent="0.3">
      <c r="A153" s="10" t="s">
        <v>146</v>
      </c>
      <c r="D153" s="12">
        <f t="shared" ref="D153:L153" si="1">D75-D106-D132</f>
        <v>0</v>
      </c>
      <c r="E153" s="12">
        <f t="shared" si="1"/>
        <v>0</v>
      </c>
      <c r="F153" s="12">
        <f t="shared" si="1"/>
        <v>0</v>
      </c>
      <c r="G153" s="12">
        <f t="shared" si="1"/>
        <v>0</v>
      </c>
      <c r="H153" s="12">
        <f t="shared" si="1"/>
        <v>0</v>
      </c>
      <c r="I153" s="12">
        <f t="shared" si="1"/>
        <v>0</v>
      </c>
      <c r="J153" s="12">
        <f t="shared" si="1"/>
        <v>0</v>
      </c>
      <c r="K153" s="12">
        <f t="shared" si="1"/>
        <v>0</v>
      </c>
      <c r="L153" s="12">
        <f t="shared" si="1"/>
        <v>0</v>
      </c>
    </row>
    <row r="156" spans="1:12" ht="18" x14ac:dyDescent="0.35">
      <c r="A156" s="8" t="s">
        <v>147</v>
      </c>
      <c r="D156" s="9"/>
      <c r="E156" s="9"/>
      <c r="F156" s="9"/>
      <c r="G156" s="9"/>
      <c r="H156" s="9"/>
      <c r="I156" s="9"/>
      <c r="J156" s="9"/>
      <c r="K156" s="9"/>
      <c r="L156" s="9"/>
    </row>
    <row r="158" spans="1:12" ht="15.6" x14ac:dyDescent="0.3">
      <c r="A158" s="10" t="s">
        <v>148</v>
      </c>
      <c r="D158" s="14">
        <v>14724000000</v>
      </c>
      <c r="E158" s="14">
        <v>13256000000</v>
      </c>
      <c r="F158" s="14">
        <v>14923000000</v>
      </c>
      <c r="G158" s="14">
        <v>14747000000</v>
      </c>
      <c r="H158" s="14">
        <f>H160+H161+H172</f>
        <v>6636346575.8715286</v>
      </c>
      <c r="I158" s="14">
        <f>I160+I161+I172</f>
        <v>7203908705.967845</v>
      </c>
      <c r="J158" s="14">
        <f>J160+J161+J172</f>
        <v>7809024869.8490124</v>
      </c>
      <c r="K158" s="14">
        <f>K160+K161+K172</f>
        <v>8455022896.0627632</v>
      </c>
      <c r="L158" s="14">
        <f>L160+L161+L172</f>
        <v>9145481578.7376213</v>
      </c>
    </row>
    <row r="159" spans="1:12" ht="15.6" x14ac:dyDescent="0.3">
      <c r="A159" s="11" t="s">
        <v>149</v>
      </c>
      <c r="D159" s="15">
        <v>14724000000</v>
      </c>
      <c r="E159" s="15">
        <v>13256000000</v>
      </c>
      <c r="F159" s="15">
        <v>14923000000</v>
      </c>
      <c r="G159" s="15">
        <v>14747000000</v>
      </c>
      <c r="H159" s="16"/>
      <c r="I159" s="16"/>
      <c r="J159" s="16"/>
      <c r="K159" s="16"/>
      <c r="L159" s="16"/>
    </row>
    <row r="160" spans="1:12" ht="15.6" x14ac:dyDescent="0.3">
      <c r="A160" s="11" t="s">
        <v>150</v>
      </c>
      <c r="D160" s="15">
        <v>12587000000</v>
      </c>
      <c r="E160" s="15">
        <v>14974000000</v>
      </c>
      <c r="F160" s="15">
        <v>7153000000</v>
      </c>
      <c r="G160" s="15">
        <v>3855000000</v>
      </c>
      <c r="H160" s="15">
        <f>H48</f>
        <v>4285489407.8862257</v>
      </c>
      <c r="I160" s="15">
        <f>I48</f>
        <v>4575445232.7123375</v>
      </c>
      <c r="J160" s="15">
        <f>J48</f>
        <v>4914571552.2101364</v>
      </c>
      <c r="K160" s="15">
        <f>K48</f>
        <v>5305710103.0736237</v>
      </c>
      <c r="L160" s="15">
        <f>L48</f>
        <v>5751973928.135067</v>
      </c>
    </row>
    <row r="161" spans="1:12" ht="15.6" x14ac:dyDescent="0.3">
      <c r="A161" s="11" t="s">
        <v>151</v>
      </c>
      <c r="D161" s="15">
        <v>3747000000</v>
      </c>
      <c r="E161" s="15">
        <v>4667000000</v>
      </c>
      <c r="F161" s="15">
        <v>5368000000</v>
      </c>
      <c r="G161" s="15">
        <v>6148000000</v>
      </c>
      <c r="H161" s="15">
        <f>-H225</f>
        <v>2350857167.9853034</v>
      </c>
      <c r="I161" s="15">
        <f>-I225</f>
        <v>2628463473.2555075</v>
      </c>
      <c r="J161" s="15">
        <f>-J225</f>
        <v>2894453317.6388764</v>
      </c>
      <c r="K161" s="15">
        <f>-K225</f>
        <v>3149312792.9891396</v>
      </c>
      <c r="L161" s="15">
        <f>-L225</f>
        <v>3393507650.6025538</v>
      </c>
    </row>
    <row r="162" spans="1:12" ht="15.6" x14ac:dyDescent="0.3">
      <c r="A162" s="11" t="s">
        <v>152</v>
      </c>
      <c r="D162" s="15">
        <v>3747000000</v>
      </c>
      <c r="E162" s="15">
        <v>4667000000</v>
      </c>
      <c r="F162" s="15">
        <v>5368000000</v>
      </c>
      <c r="G162" s="15">
        <v>6148000000</v>
      </c>
      <c r="H162" s="16"/>
      <c r="I162" s="16"/>
      <c r="J162" s="16"/>
      <c r="K162" s="16"/>
      <c r="L162" s="16"/>
    </row>
    <row r="163" spans="1:12" ht="15.6" x14ac:dyDescent="0.3">
      <c r="A163" s="11" t="s">
        <v>153</v>
      </c>
      <c r="D163" s="15">
        <v>3747000000</v>
      </c>
      <c r="E163" s="15">
        <v>4667000000</v>
      </c>
      <c r="F163" s="15">
        <v>5368000000</v>
      </c>
      <c r="G163" s="15">
        <v>6148000000</v>
      </c>
      <c r="H163" s="16"/>
      <c r="I163" s="16"/>
      <c r="J163" s="16"/>
      <c r="K163" s="16"/>
      <c r="L163" s="16"/>
    </row>
    <row r="164" spans="1:12" ht="15.6" x14ac:dyDescent="0.3">
      <c r="A164" s="11" t="s">
        <v>154</v>
      </c>
      <c r="D164" s="15">
        <v>-196000000</v>
      </c>
      <c r="E164" s="15">
        <v>-6349000000</v>
      </c>
      <c r="F164" s="15">
        <v>477000000</v>
      </c>
      <c r="G164" s="15">
        <v>123000000</v>
      </c>
      <c r="H164" s="16"/>
      <c r="I164" s="16"/>
      <c r="J164" s="16"/>
      <c r="K164" s="16"/>
      <c r="L164" s="16"/>
    </row>
    <row r="165" spans="1:12" ht="15.6" x14ac:dyDescent="0.3">
      <c r="A165" s="11" t="s">
        <v>155</v>
      </c>
      <c r="D165" s="15">
        <v>-196000000</v>
      </c>
      <c r="E165" s="15">
        <v>-6349000000</v>
      </c>
      <c r="F165" s="15">
        <v>477000000</v>
      </c>
      <c r="G165" s="15">
        <v>123000000</v>
      </c>
      <c r="H165" s="16"/>
      <c r="I165" s="16"/>
      <c r="J165" s="16"/>
      <c r="K165" s="16"/>
      <c r="L165" s="16"/>
    </row>
    <row r="166" spans="1:12" ht="15.6" x14ac:dyDescent="0.3">
      <c r="A166" s="11" t="s">
        <v>156</v>
      </c>
      <c r="D166" s="15">
        <v>1560000000</v>
      </c>
      <c r="E166" s="15">
        <v>1812000000</v>
      </c>
      <c r="F166" s="15">
        <v>1999000000</v>
      </c>
      <c r="G166" s="15">
        <v>2825000000</v>
      </c>
      <c r="H166" s="16"/>
      <c r="I166" s="16"/>
      <c r="J166" s="16"/>
      <c r="K166" s="16"/>
      <c r="L166" s="16"/>
    </row>
    <row r="167" spans="1:12" ht="15.6" x14ac:dyDescent="0.3">
      <c r="A167" s="11" t="s">
        <v>157</v>
      </c>
      <c r="D167" s="15">
        <v>340000000</v>
      </c>
      <c r="E167" s="15">
        <v>81000000</v>
      </c>
      <c r="F167" s="15">
        <v>172000000</v>
      </c>
      <c r="G167" s="15">
        <v>272000000</v>
      </c>
      <c r="H167" s="16"/>
      <c r="I167" s="16"/>
      <c r="J167" s="16"/>
      <c r="K167" s="16"/>
      <c r="L167" s="16"/>
    </row>
    <row r="168" spans="1:12" ht="15.6" x14ac:dyDescent="0.3">
      <c r="A168" s="11" t="s">
        <v>158</v>
      </c>
      <c r="D168" s="15">
        <v>221000000</v>
      </c>
      <c r="E168" s="15">
        <v>-144000000</v>
      </c>
      <c r="F168" s="15">
        <v>-662000000</v>
      </c>
      <c r="G168" s="15">
        <v>520000000</v>
      </c>
      <c r="H168" s="16"/>
      <c r="I168" s="16"/>
      <c r="J168" s="16"/>
      <c r="K168" s="16"/>
      <c r="L168" s="16"/>
    </row>
    <row r="169" spans="1:12" ht="15.6" x14ac:dyDescent="0.3">
      <c r="A169" s="11" t="s">
        <v>159</v>
      </c>
      <c r="D169" s="15">
        <v>177000000</v>
      </c>
      <c r="E169" s="15">
        <v>463000000</v>
      </c>
      <c r="F169" s="15">
        <v>335000000</v>
      </c>
      <c r="G169" s="15">
        <v>362000000</v>
      </c>
      <c r="H169" s="16"/>
      <c r="I169" s="16"/>
      <c r="J169" s="16"/>
      <c r="K169" s="16"/>
      <c r="L169" s="16"/>
    </row>
    <row r="170" spans="1:12" ht="15.6" x14ac:dyDescent="0.3">
      <c r="A170" s="11" t="s">
        <v>160</v>
      </c>
      <c r="D170" s="15">
        <v>140000000</v>
      </c>
      <c r="E170" s="15">
        <v>0</v>
      </c>
      <c r="F170" s="15">
        <v>-589000000</v>
      </c>
      <c r="G170" s="15">
        <v>68000000</v>
      </c>
      <c r="H170" s="16"/>
      <c r="I170" s="16"/>
      <c r="J170" s="16"/>
      <c r="K170" s="16"/>
      <c r="L170" s="16"/>
    </row>
    <row r="171" spans="1:12" ht="15.6" x14ac:dyDescent="0.3">
      <c r="A171" s="11" t="s">
        <v>161</v>
      </c>
      <c r="D171" s="15">
        <v>81000000</v>
      </c>
      <c r="E171" s="15">
        <v>-144000000</v>
      </c>
      <c r="F171" s="15">
        <v>-73000000</v>
      </c>
      <c r="G171" s="15">
        <v>452000000</v>
      </c>
      <c r="H171" s="16"/>
      <c r="I171" s="16"/>
      <c r="J171" s="16"/>
      <c r="K171" s="16"/>
      <c r="L171" s="16"/>
    </row>
    <row r="172" spans="1:12" ht="15.6" x14ac:dyDescent="0.3">
      <c r="A172" s="11" t="s">
        <v>162</v>
      </c>
      <c r="D172" s="15">
        <v>-3712000000</v>
      </c>
      <c r="E172" s="15">
        <v>-2248000000</v>
      </c>
      <c r="F172" s="15">
        <v>81000000</v>
      </c>
      <c r="G172" s="15">
        <v>642000000</v>
      </c>
      <c r="H172" s="16"/>
      <c r="I172" s="16"/>
      <c r="J172" s="16"/>
      <c r="K172" s="16"/>
      <c r="L172" s="16"/>
    </row>
    <row r="173" spans="1:12" ht="15.6" x14ac:dyDescent="0.3">
      <c r="A173" s="11" t="s">
        <v>163</v>
      </c>
      <c r="D173" s="15">
        <v>-1124000000</v>
      </c>
      <c r="E173" s="15">
        <v>-586000000</v>
      </c>
      <c r="F173" s="15">
        <v>-1083000000</v>
      </c>
      <c r="G173" s="15">
        <v>-261000000</v>
      </c>
      <c r="H173" s="16"/>
      <c r="I173" s="16"/>
      <c r="J173" s="16"/>
      <c r="K173" s="16"/>
      <c r="L173" s="16"/>
    </row>
    <row r="174" spans="1:12" ht="15.6" x14ac:dyDescent="0.3">
      <c r="A174" s="11" t="s">
        <v>164</v>
      </c>
      <c r="D174" s="15">
        <v>-1124000000</v>
      </c>
      <c r="E174" s="15">
        <v>-586000000</v>
      </c>
      <c r="F174" s="15">
        <v>-1083000000</v>
      </c>
      <c r="G174" s="15">
        <v>-261000000</v>
      </c>
      <c r="H174" s="16"/>
      <c r="I174" s="16"/>
      <c r="J174" s="16"/>
      <c r="K174" s="16"/>
      <c r="L174" s="16"/>
    </row>
    <row r="175" spans="1:12" ht="15.6" x14ac:dyDescent="0.3">
      <c r="A175" s="11" t="s">
        <v>165</v>
      </c>
      <c r="D175" s="15">
        <v>-6465000000</v>
      </c>
      <c r="E175" s="15">
        <v>-1195000000</v>
      </c>
      <c r="F175" s="15">
        <v>937000000</v>
      </c>
      <c r="G175" s="15">
        <v>-630000000</v>
      </c>
      <c r="H175" s="16"/>
      <c r="I175" s="16"/>
      <c r="J175" s="16"/>
      <c r="K175" s="16"/>
      <c r="L175" s="16"/>
    </row>
    <row r="176" spans="1:12" ht="15.6" x14ac:dyDescent="0.3">
      <c r="A176" s="11" t="s">
        <v>166</v>
      </c>
      <c r="D176" s="15">
        <v>8029000000</v>
      </c>
      <c r="E176" s="15">
        <v>2605000000</v>
      </c>
      <c r="F176" s="15">
        <v>3588000000</v>
      </c>
      <c r="G176" s="15">
        <v>4376000000</v>
      </c>
      <c r="H176" s="16"/>
      <c r="I176" s="16"/>
      <c r="J176" s="16"/>
      <c r="K176" s="16"/>
      <c r="L176" s="16"/>
    </row>
    <row r="177" spans="1:12" ht="15.6" x14ac:dyDescent="0.3">
      <c r="A177" s="11" t="s">
        <v>167</v>
      </c>
      <c r="D177" s="15">
        <v>8029000000</v>
      </c>
      <c r="E177" s="15">
        <v>2605000000</v>
      </c>
      <c r="F177" s="15">
        <v>3588000000</v>
      </c>
      <c r="G177" s="15">
        <v>4376000000</v>
      </c>
      <c r="H177" s="16"/>
      <c r="I177" s="16"/>
      <c r="J177" s="16"/>
      <c r="K177" s="16"/>
      <c r="L177" s="16"/>
    </row>
    <row r="178" spans="1:12" ht="15.6" x14ac:dyDescent="0.3">
      <c r="A178" s="11" t="s">
        <v>168</v>
      </c>
      <c r="D178" s="15">
        <v>8029000000</v>
      </c>
      <c r="E178" s="15">
        <v>2605000000</v>
      </c>
      <c r="F178" s="15">
        <v>3588000000</v>
      </c>
      <c r="G178" s="15">
        <v>4376000000</v>
      </c>
      <c r="H178" s="16"/>
      <c r="I178" s="16"/>
      <c r="J178" s="16"/>
      <c r="K178" s="16"/>
      <c r="L178" s="16"/>
    </row>
    <row r="179" spans="1:12" ht="15.6" x14ac:dyDescent="0.3">
      <c r="A179" s="11" t="s">
        <v>169</v>
      </c>
      <c r="D179" s="15">
        <v>1131000000</v>
      </c>
      <c r="E179" s="15">
        <v>1532000000</v>
      </c>
      <c r="F179" s="15">
        <v>502000000</v>
      </c>
      <c r="G179" s="15">
        <v>363000000</v>
      </c>
      <c r="H179" s="16"/>
      <c r="I179" s="16"/>
      <c r="J179" s="16"/>
      <c r="K179" s="16"/>
      <c r="L179" s="16"/>
    </row>
    <row r="180" spans="1:12" ht="15.6" x14ac:dyDescent="0.3">
      <c r="A180" s="11" t="s">
        <v>170</v>
      </c>
      <c r="D180" s="15">
        <v>-1570000000</v>
      </c>
      <c r="E180" s="15">
        <v>-1952000000</v>
      </c>
      <c r="F180" s="15">
        <v>-590000000</v>
      </c>
      <c r="G180" s="15">
        <v>-25000000</v>
      </c>
      <c r="H180" s="16"/>
      <c r="I180" s="16"/>
      <c r="J180" s="16"/>
      <c r="K180" s="16"/>
      <c r="L180" s="16"/>
    </row>
    <row r="181" spans="1:12" ht="15.6" x14ac:dyDescent="0.3">
      <c r="A181" s="11" t="s">
        <v>171</v>
      </c>
      <c r="D181" s="15">
        <v>1904000000</v>
      </c>
      <c r="E181" s="16"/>
      <c r="F181" s="16"/>
      <c r="G181" s="16"/>
      <c r="H181" s="16"/>
      <c r="I181" s="16"/>
      <c r="J181" s="16"/>
      <c r="K181" s="16"/>
      <c r="L181" s="16"/>
    </row>
    <row r="182" spans="1:12" ht="15.6" x14ac:dyDescent="0.3">
      <c r="A182" s="11" t="s">
        <v>172</v>
      </c>
      <c r="D182" s="15">
        <v>-3713000000</v>
      </c>
      <c r="E182" s="15">
        <v>-2652000000</v>
      </c>
      <c r="F182" s="15">
        <v>-3273000000</v>
      </c>
      <c r="G182" s="15">
        <v>-3181000000</v>
      </c>
      <c r="H182" s="16"/>
      <c r="I182" s="16"/>
      <c r="J182" s="16"/>
      <c r="K182" s="16"/>
      <c r="L182" s="16"/>
    </row>
    <row r="183" spans="1:12" ht="15.6" x14ac:dyDescent="0.3">
      <c r="A183" s="10" t="s">
        <v>173</v>
      </c>
      <c r="D183" s="14">
        <v>-11973000000</v>
      </c>
      <c r="E183" s="14">
        <v>-15584000000</v>
      </c>
      <c r="F183" s="14">
        <v>-18787000000</v>
      </c>
      <c r="G183" s="14">
        <v>-15478000000</v>
      </c>
      <c r="H183" s="14">
        <f>H185</f>
        <v>-8985000000</v>
      </c>
      <c r="I183" s="14">
        <f>I185</f>
        <v>-8985000000</v>
      </c>
      <c r="J183" s="14">
        <f>J185</f>
        <v>-8985000000</v>
      </c>
      <c r="K183" s="14">
        <f>K185</f>
        <v>-8985000000</v>
      </c>
      <c r="L183" s="14">
        <f>L185</f>
        <v>-8985000000</v>
      </c>
    </row>
    <row r="184" spans="1:12" ht="15.6" x14ac:dyDescent="0.3">
      <c r="A184" s="11" t="s">
        <v>174</v>
      </c>
      <c r="D184" s="15">
        <v>-11973000000</v>
      </c>
      <c r="E184" s="15">
        <v>-15584000000</v>
      </c>
      <c r="F184" s="15">
        <v>-18787000000</v>
      </c>
      <c r="G184" s="15">
        <v>-15478000000</v>
      </c>
      <c r="H184" s="16"/>
      <c r="I184" s="16"/>
      <c r="J184" s="16"/>
      <c r="K184" s="16"/>
      <c r="L184" s="16"/>
    </row>
    <row r="185" spans="1:12" ht="15.6" x14ac:dyDescent="0.3">
      <c r="A185" s="11" t="s">
        <v>175</v>
      </c>
      <c r="D185" s="15">
        <v>-7172000000</v>
      </c>
      <c r="E185" s="15">
        <v>-8899000000</v>
      </c>
      <c r="F185" s="15">
        <v>-11342000000</v>
      </c>
      <c r="G185" s="15">
        <v>-8527000000</v>
      </c>
      <c r="H185" s="15">
        <f>-H18</f>
        <v>-8985000000</v>
      </c>
      <c r="I185" s="15">
        <f>-I18</f>
        <v>-8985000000</v>
      </c>
      <c r="J185" s="15">
        <f>-J18</f>
        <v>-8985000000</v>
      </c>
      <c r="K185" s="15">
        <f>-K18</f>
        <v>-8985000000</v>
      </c>
      <c r="L185" s="15">
        <f>-L18</f>
        <v>-8985000000</v>
      </c>
    </row>
    <row r="186" spans="1:12" ht="15.6" x14ac:dyDescent="0.3">
      <c r="A186" s="11" t="s">
        <v>176</v>
      </c>
      <c r="D186" s="15">
        <v>-7163000000</v>
      </c>
      <c r="E186" s="15">
        <v>-8899000000</v>
      </c>
      <c r="F186" s="15">
        <v>-11342000000</v>
      </c>
      <c r="G186" s="15">
        <v>-8527000000</v>
      </c>
      <c r="H186" s="16"/>
      <c r="I186" s="16"/>
      <c r="J186" s="16"/>
      <c r="K186" s="16"/>
      <c r="L186" s="16"/>
    </row>
    <row r="187" spans="1:12" ht="15.6" x14ac:dyDescent="0.3">
      <c r="A187" s="11" t="s">
        <v>177</v>
      </c>
      <c r="D187" s="15">
        <v>-7163000000</v>
      </c>
      <c r="E187" s="15">
        <v>-8899000000</v>
      </c>
      <c r="F187" s="15">
        <v>-11342000000</v>
      </c>
      <c r="G187" s="15">
        <v>-8527000000</v>
      </c>
      <c r="H187" s="16"/>
      <c r="I187" s="16"/>
      <c r="J187" s="16"/>
      <c r="K187" s="16"/>
      <c r="L187" s="16"/>
    </row>
    <row r="188" spans="1:12" ht="15.6" x14ac:dyDescent="0.3">
      <c r="A188" s="11" t="s">
        <v>178</v>
      </c>
      <c r="D188" s="15">
        <v>0</v>
      </c>
      <c r="E188" s="15">
        <v>-64000000</v>
      </c>
      <c r="F188" s="15">
        <v>0</v>
      </c>
      <c r="G188" s="15">
        <v>0</v>
      </c>
      <c r="H188" s="16"/>
      <c r="I188" s="16"/>
      <c r="J188" s="16"/>
      <c r="K188" s="16"/>
      <c r="L188" s="16"/>
    </row>
    <row r="189" spans="1:12" ht="15.6" x14ac:dyDescent="0.3">
      <c r="A189" s="11" t="s">
        <v>179</v>
      </c>
      <c r="D189" s="15">
        <v>0</v>
      </c>
      <c r="E189" s="15">
        <v>-64000000</v>
      </c>
      <c r="F189" s="15">
        <v>0</v>
      </c>
      <c r="G189" s="15">
        <v>0</v>
      </c>
      <c r="H189" s="16"/>
      <c r="I189" s="16"/>
      <c r="J189" s="16"/>
      <c r="K189" s="16"/>
      <c r="L189" s="16"/>
    </row>
    <row r="190" spans="1:12" ht="15.6" x14ac:dyDescent="0.3">
      <c r="A190" s="11" t="s">
        <v>180</v>
      </c>
      <c r="D190" s="15">
        <v>0</v>
      </c>
      <c r="E190" s="16"/>
      <c r="F190" s="16"/>
      <c r="G190" s="16"/>
      <c r="H190" s="16"/>
      <c r="I190" s="16"/>
      <c r="J190" s="16"/>
      <c r="K190" s="16"/>
      <c r="L190" s="16"/>
    </row>
    <row r="191" spans="1:12" ht="15.6" x14ac:dyDescent="0.3">
      <c r="A191" s="11" t="s">
        <v>181</v>
      </c>
      <c r="D191" s="15">
        <v>-5813000000</v>
      </c>
      <c r="E191" s="15">
        <v>-6621000000</v>
      </c>
      <c r="F191" s="15">
        <v>-7445000000</v>
      </c>
      <c r="G191" s="15">
        <v>-6951000000</v>
      </c>
      <c r="H191" s="16"/>
      <c r="I191" s="16"/>
      <c r="J191" s="16"/>
      <c r="K191" s="16"/>
      <c r="L191" s="16"/>
    </row>
    <row r="192" spans="1:12" ht="15.6" x14ac:dyDescent="0.3">
      <c r="A192" s="11" t="s">
        <v>182</v>
      </c>
      <c r="D192" s="15">
        <v>-5835000000</v>
      </c>
      <c r="E192" s="15">
        <v>-19112000000</v>
      </c>
      <c r="F192" s="15">
        <v>-35955000000</v>
      </c>
      <c r="G192" s="15">
        <v>-37109000000</v>
      </c>
      <c r="H192" s="16"/>
      <c r="I192" s="16"/>
      <c r="J192" s="16"/>
      <c r="K192" s="16"/>
      <c r="L192" s="16"/>
    </row>
    <row r="193" spans="1:12" ht="15.6" x14ac:dyDescent="0.3">
      <c r="A193" s="11" t="s">
        <v>183</v>
      </c>
      <c r="D193" s="15">
        <v>22000000</v>
      </c>
      <c r="E193" s="15">
        <v>12491000000</v>
      </c>
      <c r="F193" s="15">
        <v>28510000000</v>
      </c>
      <c r="G193" s="15">
        <v>30158000000</v>
      </c>
      <c r="H193" s="16"/>
      <c r="I193" s="16"/>
      <c r="J193" s="16"/>
      <c r="K193" s="16"/>
      <c r="L193" s="16"/>
    </row>
    <row r="194" spans="1:12" ht="15.6" x14ac:dyDescent="0.3">
      <c r="A194" s="11" t="s">
        <v>184</v>
      </c>
      <c r="D194" s="15">
        <v>927000000</v>
      </c>
      <c r="E194" s="15">
        <v>0</v>
      </c>
      <c r="F194" s="15">
        <v>0</v>
      </c>
      <c r="G194" s="16"/>
      <c r="H194" s="16"/>
      <c r="I194" s="16"/>
      <c r="J194" s="16"/>
      <c r="K194" s="16"/>
      <c r="L194" s="16"/>
    </row>
    <row r="195" spans="1:12" ht="15.6" x14ac:dyDescent="0.3">
      <c r="A195" s="11" t="s">
        <v>185</v>
      </c>
      <c r="D195" s="15">
        <v>-9000000</v>
      </c>
      <c r="E195" s="15">
        <v>0</v>
      </c>
      <c r="F195" s="15">
        <v>0</v>
      </c>
      <c r="G195" s="16"/>
      <c r="H195" s="16"/>
      <c r="I195" s="16"/>
      <c r="J195" s="16"/>
      <c r="K195" s="16"/>
      <c r="L195" s="16"/>
    </row>
    <row r="196" spans="1:12" ht="15.6" x14ac:dyDescent="0.3">
      <c r="A196" s="11" t="s">
        <v>186</v>
      </c>
      <c r="D196" s="15">
        <v>936000000</v>
      </c>
      <c r="E196" s="15">
        <v>0</v>
      </c>
      <c r="F196" s="15">
        <v>0</v>
      </c>
      <c r="G196" s="16"/>
      <c r="H196" s="16"/>
      <c r="I196" s="16"/>
      <c r="J196" s="16"/>
      <c r="K196" s="16"/>
      <c r="L196" s="16"/>
    </row>
    <row r="197" spans="1:12" ht="15.6" x14ac:dyDescent="0.3">
      <c r="A197" s="11" t="s">
        <v>187</v>
      </c>
      <c r="D197" s="15">
        <v>76000000</v>
      </c>
      <c r="E197" s="16"/>
      <c r="F197" s="16"/>
      <c r="G197" s="16"/>
      <c r="H197" s="16"/>
      <c r="I197" s="16"/>
      <c r="J197" s="16"/>
      <c r="K197" s="16"/>
      <c r="L197" s="16"/>
    </row>
    <row r="198" spans="1:12" ht="15.6" x14ac:dyDescent="0.3">
      <c r="A198" s="10" t="s">
        <v>188</v>
      </c>
      <c r="D198" s="14">
        <v>-3527000000</v>
      </c>
      <c r="E198" s="14">
        <v>2589000000</v>
      </c>
      <c r="F198" s="14">
        <v>3853000000</v>
      </c>
      <c r="G198" s="14">
        <v>1139000000</v>
      </c>
      <c r="H198" s="14">
        <f>H200+H206</f>
        <v>262250000</v>
      </c>
      <c r="I198" s="14">
        <f>I200+I206</f>
        <v>262250000</v>
      </c>
      <c r="J198" s="14">
        <f>J200+J206</f>
        <v>262250000</v>
      </c>
      <c r="K198" s="14">
        <f>K200+K206</f>
        <v>262250000</v>
      </c>
      <c r="L198" s="14">
        <f>L200+L206</f>
        <v>262250000</v>
      </c>
    </row>
    <row r="199" spans="1:12" ht="15.6" x14ac:dyDescent="0.3">
      <c r="A199" s="11" t="s">
        <v>189</v>
      </c>
      <c r="D199" s="15">
        <v>-3527000000</v>
      </c>
      <c r="E199" s="15">
        <v>2589000000</v>
      </c>
      <c r="F199" s="15">
        <v>3853000000</v>
      </c>
      <c r="G199" s="15">
        <v>1139000000</v>
      </c>
      <c r="H199" s="16"/>
      <c r="I199" s="16"/>
      <c r="J199" s="16"/>
      <c r="K199" s="16"/>
      <c r="L199" s="16"/>
    </row>
    <row r="200" spans="1:12" ht="15.6" x14ac:dyDescent="0.3">
      <c r="A200" s="11" t="s">
        <v>190</v>
      </c>
      <c r="D200" s="15">
        <v>-3866000000</v>
      </c>
      <c r="E200" s="15">
        <v>2116000000</v>
      </c>
      <c r="F200" s="15">
        <v>2863000000</v>
      </c>
      <c r="G200" s="15">
        <v>-64000000</v>
      </c>
      <c r="H200" s="15">
        <f>H19</f>
        <v>262250000</v>
      </c>
      <c r="I200" s="15">
        <f>I19</f>
        <v>262250000</v>
      </c>
      <c r="J200" s="15">
        <f>J19</f>
        <v>262250000</v>
      </c>
      <c r="K200" s="15">
        <f>K19</f>
        <v>262250000</v>
      </c>
      <c r="L200" s="15">
        <f>L19</f>
        <v>262250000</v>
      </c>
    </row>
    <row r="201" spans="1:12" ht="15.6" x14ac:dyDescent="0.3">
      <c r="A201" s="11" t="s">
        <v>191</v>
      </c>
      <c r="D201" s="15">
        <v>-3866000000</v>
      </c>
      <c r="E201" s="15">
        <v>2116000000</v>
      </c>
      <c r="F201" s="15">
        <v>2863000000</v>
      </c>
      <c r="G201" s="15">
        <v>-64000000</v>
      </c>
      <c r="H201" s="16"/>
      <c r="I201" s="16"/>
      <c r="J201" s="16"/>
      <c r="K201" s="16"/>
      <c r="L201" s="16"/>
    </row>
    <row r="202" spans="1:12" ht="15.6" x14ac:dyDescent="0.3">
      <c r="A202" s="11" t="s">
        <v>192</v>
      </c>
      <c r="D202" s="15">
        <v>0</v>
      </c>
      <c r="E202" s="15">
        <v>3931000000</v>
      </c>
      <c r="F202" s="15">
        <v>5744000000</v>
      </c>
      <c r="G202" s="15">
        <v>5586000000</v>
      </c>
      <c r="H202" s="16"/>
      <c r="I202" s="16"/>
      <c r="J202" s="16"/>
      <c r="K202" s="16"/>
      <c r="L202" s="16"/>
    </row>
    <row r="203" spans="1:12" ht="15.6" x14ac:dyDescent="0.3">
      <c r="A203" s="11" t="s">
        <v>193</v>
      </c>
      <c r="D203" s="15">
        <v>-3866000000</v>
      </c>
      <c r="E203" s="15">
        <v>-1815000000</v>
      </c>
      <c r="F203" s="15">
        <v>-2881000000</v>
      </c>
      <c r="G203" s="15">
        <v>-5650000000</v>
      </c>
      <c r="H203" s="16"/>
      <c r="I203" s="16"/>
      <c r="J203" s="16"/>
      <c r="K203" s="16"/>
      <c r="L203" s="16"/>
    </row>
    <row r="204" spans="1:12" ht="15.6" x14ac:dyDescent="0.3">
      <c r="A204" s="11" t="s">
        <v>194</v>
      </c>
      <c r="D204" s="15">
        <v>0</v>
      </c>
      <c r="E204" s="15">
        <v>3931000000</v>
      </c>
      <c r="F204" s="15">
        <v>5744000000</v>
      </c>
      <c r="G204" s="15">
        <v>5586000000</v>
      </c>
      <c r="H204" s="16"/>
      <c r="I204" s="16"/>
      <c r="J204" s="16"/>
      <c r="K204" s="16"/>
      <c r="L204" s="16"/>
    </row>
    <row r="205" spans="1:12" ht="15.6" x14ac:dyDescent="0.3">
      <c r="A205" s="11" t="s">
        <v>195</v>
      </c>
      <c r="D205" s="15">
        <v>-3866000000</v>
      </c>
      <c r="E205" s="15">
        <v>-1815000000</v>
      </c>
      <c r="F205" s="15">
        <v>-2881000000</v>
      </c>
      <c r="G205" s="15">
        <v>-5650000000</v>
      </c>
      <c r="H205" s="16"/>
      <c r="I205" s="16"/>
      <c r="J205" s="16"/>
      <c r="K205" s="16"/>
      <c r="L205" s="16"/>
    </row>
    <row r="206" spans="1:12" ht="15.6" x14ac:dyDescent="0.3">
      <c r="A206" s="11" t="s">
        <v>196</v>
      </c>
      <c r="D206" s="15">
        <v>0</v>
      </c>
      <c r="E206" s="16"/>
      <c r="F206" s="16"/>
      <c r="G206" s="16"/>
      <c r="H206" s="15">
        <f>H20</f>
        <v>0</v>
      </c>
      <c r="I206" s="15">
        <f>I20</f>
        <v>0</v>
      </c>
      <c r="J206" s="15">
        <f>J20</f>
        <v>0</v>
      </c>
      <c r="K206" s="15">
        <f>K20</f>
        <v>0</v>
      </c>
      <c r="L206" s="15">
        <f>L20</f>
        <v>0</v>
      </c>
    </row>
    <row r="207" spans="1:12" ht="15.6" x14ac:dyDescent="0.3">
      <c r="A207" s="11" t="s">
        <v>197</v>
      </c>
      <c r="D207" s="15">
        <v>0</v>
      </c>
      <c r="E207" s="16"/>
      <c r="F207" s="16"/>
      <c r="G207" s="16"/>
      <c r="H207" s="16"/>
      <c r="I207" s="16"/>
      <c r="J207" s="16"/>
      <c r="K207" s="16"/>
      <c r="L207" s="16"/>
    </row>
    <row r="208" spans="1:12" ht="15.6" x14ac:dyDescent="0.3">
      <c r="A208" s="11" t="s">
        <v>198</v>
      </c>
      <c r="D208" s="15">
        <v>541000000</v>
      </c>
      <c r="E208" s="15">
        <v>700000000</v>
      </c>
      <c r="F208" s="15">
        <v>1241000000</v>
      </c>
      <c r="G208" s="15">
        <v>1186000000</v>
      </c>
      <c r="H208" s="16"/>
      <c r="I208" s="16"/>
      <c r="J208" s="16"/>
      <c r="K208" s="16"/>
      <c r="L208" s="16"/>
    </row>
    <row r="209" spans="1:12" ht="15.6" x14ac:dyDescent="0.3">
      <c r="A209" s="11" t="s">
        <v>199</v>
      </c>
      <c r="D209" s="15">
        <v>0</v>
      </c>
      <c r="E209" s="16"/>
      <c r="F209" s="16"/>
      <c r="G209" s="16"/>
      <c r="H209" s="16"/>
      <c r="I209" s="16"/>
      <c r="J209" s="16"/>
      <c r="K209" s="16"/>
      <c r="L209" s="16"/>
    </row>
    <row r="210" spans="1:12" ht="15.6" x14ac:dyDescent="0.3">
      <c r="A210" s="11" t="s">
        <v>200</v>
      </c>
      <c r="D210" s="15">
        <v>-202000000</v>
      </c>
      <c r="E210" s="15">
        <v>-227000000</v>
      </c>
      <c r="F210" s="15">
        <v>-251000000</v>
      </c>
      <c r="G210" s="15">
        <v>17000000</v>
      </c>
      <c r="H210" s="16"/>
      <c r="I210" s="16"/>
      <c r="J210" s="16"/>
      <c r="K210" s="16"/>
      <c r="L210" s="16"/>
    </row>
    <row r="211" spans="1:12" ht="15.6" x14ac:dyDescent="0.3">
      <c r="A211" s="10" t="s">
        <v>201</v>
      </c>
      <c r="D211" s="14">
        <v>-776000000</v>
      </c>
      <c r="E211" s="14">
        <v>261000000</v>
      </c>
      <c r="F211" s="14">
        <v>-11000000</v>
      </c>
      <c r="G211" s="14">
        <v>408000000</v>
      </c>
      <c r="H211" s="14">
        <f>H158+H183+H198</f>
        <v>-2086403424.1284714</v>
      </c>
      <c r="I211" s="14">
        <f>I158+I183+I198</f>
        <v>-1518841294.032155</v>
      </c>
      <c r="J211" s="14">
        <f>J158+J183+J198</f>
        <v>-913725130.15098763</v>
      </c>
      <c r="K211" s="14">
        <f>K158+K183+K198</f>
        <v>-267727103.93723679</v>
      </c>
      <c r="L211" s="14">
        <f>L158+L183+L198</f>
        <v>422731578.73762131</v>
      </c>
    </row>
    <row r="212" spans="1:12" ht="15.6" x14ac:dyDescent="0.3">
      <c r="A212" s="11" t="s">
        <v>202</v>
      </c>
      <c r="D212" s="15">
        <v>-444000000</v>
      </c>
      <c r="E212" s="15">
        <v>4000000</v>
      </c>
      <c r="F212" s="15">
        <v>-141000000</v>
      </c>
      <c r="G212" s="15">
        <v>171000000</v>
      </c>
      <c r="H212" s="16"/>
      <c r="I212" s="16"/>
      <c r="J212" s="16"/>
      <c r="K212" s="16"/>
      <c r="L212" s="16"/>
    </row>
    <row r="213" spans="1:12" ht="15.6" x14ac:dyDescent="0.3">
      <c r="A213" s="10" t="s">
        <v>203</v>
      </c>
      <c r="D213" s="14">
        <v>18144000000</v>
      </c>
      <c r="E213" s="14">
        <f t="shared" ref="E213:L213" si="2">D214</f>
        <v>16924000000</v>
      </c>
      <c r="F213" s="14">
        <f t="shared" si="2"/>
        <v>17189000000</v>
      </c>
      <c r="G213" s="14">
        <f t="shared" si="2"/>
        <v>17037000000</v>
      </c>
      <c r="H213" s="15">
        <f t="shared" si="2"/>
        <v>17616000000</v>
      </c>
      <c r="I213" s="15">
        <f t="shared" si="2"/>
        <v>15529596575.871529</v>
      </c>
      <c r="J213" s="15">
        <f t="shared" si="2"/>
        <v>14010755281.839375</v>
      </c>
      <c r="K213" s="15">
        <f t="shared" si="2"/>
        <v>13097030151.688387</v>
      </c>
      <c r="L213" s="15">
        <f t="shared" si="2"/>
        <v>12829303047.75115</v>
      </c>
    </row>
    <row r="214" spans="1:12" ht="15.6" x14ac:dyDescent="0.3">
      <c r="A214" s="10" t="s">
        <v>204</v>
      </c>
      <c r="D214" s="14">
        <v>16924000000</v>
      </c>
      <c r="E214" s="14">
        <v>17189000000</v>
      </c>
      <c r="F214" s="14">
        <v>17037000000</v>
      </c>
      <c r="G214" s="14">
        <v>17616000000</v>
      </c>
      <c r="H214" s="14">
        <f>H213+H211</f>
        <v>15529596575.871529</v>
      </c>
      <c r="I214" s="14">
        <f>I213+I211</f>
        <v>14010755281.839375</v>
      </c>
      <c r="J214" s="14">
        <f>J213+J211</f>
        <v>13097030151.688387</v>
      </c>
      <c r="K214" s="14">
        <f>K213+K211</f>
        <v>12829303047.75115</v>
      </c>
      <c r="L214" s="14">
        <f>L213+L211</f>
        <v>13252034626.488771</v>
      </c>
    </row>
    <row r="215" spans="1:12" ht="15.6" x14ac:dyDescent="0.3">
      <c r="A215" s="10" t="s">
        <v>205</v>
      </c>
      <c r="D215" s="14">
        <v>7552000000</v>
      </c>
      <c r="E215" s="14">
        <v>4357000000</v>
      </c>
      <c r="F215" s="14">
        <v>3581000000</v>
      </c>
      <c r="G215" s="14">
        <v>6220000000</v>
      </c>
      <c r="H215" s="14">
        <f>H158+H185</f>
        <v>-2348653424.1284714</v>
      </c>
      <c r="I215" s="14">
        <f>I158+I185</f>
        <v>-1781091294.032155</v>
      </c>
      <c r="J215" s="14">
        <f>J158+J185</f>
        <v>-1175975130.1509876</v>
      </c>
      <c r="K215" s="14">
        <f>K158+K185</f>
        <v>-529977103.93723679</v>
      </c>
      <c r="L215" s="14">
        <f>L158+L185</f>
        <v>160481578.73762131</v>
      </c>
    </row>
    <row r="216" spans="1:12" ht="15.6" x14ac:dyDescent="0.3">
      <c r="A216" s="10" t="s">
        <v>206</v>
      </c>
      <c r="D216" s="14">
        <v>152000000</v>
      </c>
      <c r="E216" s="14">
        <v>126000000</v>
      </c>
      <c r="F216" s="14">
        <v>277000000</v>
      </c>
      <c r="G216" s="14">
        <v>292000000</v>
      </c>
      <c r="H216" s="16"/>
      <c r="I216" s="16"/>
      <c r="J216" s="16"/>
      <c r="K216" s="16"/>
      <c r="L216" s="16"/>
    </row>
    <row r="217" spans="1:12" ht="15.6" x14ac:dyDescent="0.3">
      <c r="A217" s="10" t="s">
        <v>207</v>
      </c>
      <c r="D217" s="14">
        <v>1203000000</v>
      </c>
      <c r="E217" s="14">
        <v>1119000000</v>
      </c>
      <c r="F217" s="14">
        <v>1331000000</v>
      </c>
      <c r="G217" s="16"/>
      <c r="H217" s="16"/>
      <c r="I217" s="16"/>
      <c r="J217" s="16"/>
      <c r="K217" s="16"/>
      <c r="L217" s="16"/>
    </row>
    <row r="220" spans="1:12" ht="18" x14ac:dyDescent="0.35">
      <c r="A220" s="8" t="s">
        <v>208</v>
      </c>
      <c r="D220" s="9"/>
      <c r="E220" s="9"/>
      <c r="F220" s="9"/>
      <c r="G220" s="9"/>
      <c r="H220" s="9"/>
      <c r="I220" s="9"/>
      <c r="J220" s="9"/>
      <c r="K220" s="9"/>
      <c r="L220" s="9"/>
    </row>
    <row r="222" spans="1:12" ht="15.6" x14ac:dyDescent="0.3">
      <c r="A222" s="10" t="s">
        <v>209</v>
      </c>
    </row>
    <row r="223" spans="1:12" ht="15.6" x14ac:dyDescent="0.3">
      <c r="A223" s="11" t="s">
        <v>210</v>
      </c>
      <c r="D223" s="15">
        <v>33210000000</v>
      </c>
      <c r="E223" s="15">
        <v>36635000000</v>
      </c>
      <c r="F223" s="15">
        <v>45124000000</v>
      </c>
      <c r="G223" s="15">
        <v>51506000000</v>
      </c>
      <c r="H223" s="15">
        <f>G226</f>
        <v>56180000000</v>
      </c>
      <c r="I223" s="15">
        <f>H226</f>
        <v>62814142832.014694</v>
      </c>
      <c r="J223" s="15">
        <f>I226</f>
        <v>69170679358.759186</v>
      </c>
      <c r="K223" s="15">
        <f>J226</f>
        <v>75261226041.120316</v>
      </c>
      <c r="L223" s="15">
        <f>K226</f>
        <v>81096913248.13118</v>
      </c>
    </row>
    <row r="224" spans="1:12" ht="15.6" x14ac:dyDescent="0.3">
      <c r="A224" s="11" t="s">
        <v>211</v>
      </c>
      <c r="D224" s="15">
        <v>7172000000</v>
      </c>
      <c r="E224" s="15">
        <v>8899000000</v>
      </c>
      <c r="F224" s="15">
        <v>11342000000</v>
      </c>
      <c r="G224" s="15">
        <v>8527000000</v>
      </c>
      <c r="H224" s="15">
        <f>H18</f>
        <v>8985000000</v>
      </c>
      <c r="I224" s="15">
        <f>I18</f>
        <v>8985000000</v>
      </c>
      <c r="J224" s="15">
        <f>J18</f>
        <v>8985000000</v>
      </c>
      <c r="K224" s="15">
        <f>K18</f>
        <v>8985000000</v>
      </c>
      <c r="L224" s="15">
        <f>L18</f>
        <v>8985000000</v>
      </c>
    </row>
    <row r="225" spans="1:12" ht="15.6" x14ac:dyDescent="0.3">
      <c r="A225" s="11" t="s">
        <v>212</v>
      </c>
      <c r="D225" s="15">
        <v>-3747000000</v>
      </c>
      <c r="E225" s="15">
        <v>-4667000000</v>
      </c>
      <c r="F225" s="15">
        <v>-5368000000</v>
      </c>
      <c r="G225" s="15">
        <v>-6148000000</v>
      </c>
      <c r="H225" s="15">
        <f>-H223*H12</f>
        <v>-2350857167.9853034</v>
      </c>
      <c r="I225" s="15">
        <f>-I223*I12</f>
        <v>-2628463473.2555075</v>
      </c>
      <c r="J225" s="15">
        <f>-J223*J12</f>
        <v>-2894453317.6388764</v>
      </c>
      <c r="K225" s="15">
        <f>-K223*K12</f>
        <v>-3149312792.9891396</v>
      </c>
      <c r="L225" s="15">
        <f>-L223*L12</f>
        <v>-3393507650.6025538</v>
      </c>
    </row>
    <row r="226" spans="1:12" ht="15.6" x14ac:dyDescent="0.3">
      <c r="A226" s="10" t="s">
        <v>213</v>
      </c>
      <c r="D226" s="14">
        <v>36635000000</v>
      </c>
      <c r="E226" s="14">
        <v>45124000000</v>
      </c>
      <c r="F226" s="14">
        <v>51506000000</v>
      </c>
      <c r="G226" s="14">
        <v>56180000000</v>
      </c>
      <c r="H226" s="14">
        <f>H223+H224+H225</f>
        <v>62814142832.014694</v>
      </c>
      <c r="I226" s="14">
        <f>I223+I224+I225</f>
        <v>69170679358.759186</v>
      </c>
      <c r="J226" s="14">
        <f>J223+J224+J225</f>
        <v>75261226041.120316</v>
      </c>
      <c r="K226" s="14">
        <f>K223+K224+K225</f>
        <v>81096913248.13118</v>
      </c>
      <c r="L226" s="14">
        <f>L223+L224+L225</f>
        <v>86688405597.528625</v>
      </c>
    </row>
    <row r="228" spans="1:12" ht="15.6" x14ac:dyDescent="0.3">
      <c r="A228" s="10" t="s">
        <v>214</v>
      </c>
    </row>
    <row r="229" spans="1:12" ht="15.6" x14ac:dyDescent="0.3">
      <c r="A229" s="11" t="s">
        <v>215</v>
      </c>
      <c r="D229" s="15">
        <v>9614000000</v>
      </c>
      <c r="E229" s="15">
        <v>5748000000</v>
      </c>
      <c r="F229" s="15">
        <v>9573000000</v>
      </c>
      <c r="G229" s="15">
        <v>13623000000</v>
      </c>
      <c r="H229" s="15">
        <f>G231</f>
        <v>14719000000</v>
      </c>
      <c r="I229" s="15">
        <f>H231</f>
        <v>14981250000</v>
      </c>
      <c r="J229" s="15">
        <f>I231</f>
        <v>15243500000</v>
      </c>
      <c r="K229" s="15">
        <f>J231</f>
        <v>15505750000</v>
      </c>
      <c r="L229" s="15">
        <f>K231</f>
        <v>15768000000</v>
      </c>
    </row>
    <row r="230" spans="1:12" ht="15.6" x14ac:dyDescent="0.3">
      <c r="A230" s="11" t="s">
        <v>216</v>
      </c>
      <c r="D230" s="15">
        <v>-3866000000</v>
      </c>
      <c r="E230" s="15">
        <v>2116000000</v>
      </c>
      <c r="F230" s="15">
        <v>2863000000</v>
      </c>
      <c r="G230" s="15">
        <v>-64000000</v>
      </c>
      <c r="H230" s="15">
        <f>H19</f>
        <v>262250000</v>
      </c>
      <c r="I230" s="15">
        <f>I19</f>
        <v>262250000</v>
      </c>
      <c r="J230" s="15">
        <f>J19</f>
        <v>262250000</v>
      </c>
      <c r="K230" s="15">
        <f>K19</f>
        <v>262250000</v>
      </c>
      <c r="L230" s="15">
        <f>L19</f>
        <v>262250000</v>
      </c>
    </row>
    <row r="231" spans="1:12" ht="15.6" x14ac:dyDescent="0.3">
      <c r="A231" s="10" t="s">
        <v>217</v>
      </c>
      <c r="D231" s="14">
        <v>5748000000</v>
      </c>
      <c r="E231" s="14">
        <v>9573000000</v>
      </c>
      <c r="F231" s="14">
        <v>13623000000</v>
      </c>
      <c r="G231" s="14">
        <v>14719000000</v>
      </c>
      <c r="H231" s="14">
        <f>H229+H230</f>
        <v>14981250000</v>
      </c>
      <c r="I231" s="14">
        <f>I229+I230</f>
        <v>15243500000</v>
      </c>
      <c r="J231" s="14">
        <f>J229+J230</f>
        <v>15505750000</v>
      </c>
      <c r="K231" s="14">
        <f>K229+K230</f>
        <v>15768000000</v>
      </c>
      <c r="L231" s="14">
        <f>L229+L230</f>
        <v>16030250000</v>
      </c>
    </row>
    <row r="232" spans="1:12" ht="15.6" x14ac:dyDescent="0.3">
      <c r="A232" s="11" t="s">
        <v>34</v>
      </c>
      <c r="D232" s="15">
        <v>191000000</v>
      </c>
      <c r="E232" s="15">
        <v>156000000</v>
      </c>
      <c r="F232" s="15">
        <v>350000000</v>
      </c>
      <c r="G232" s="15">
        <v>338000000</v>
      </c>
      <c r="H232" s="15">
        <f>AVERAGE(H229,H231)*H13</f>
        <v>369278393.08987463</v>
      </c>
      <c r="I232" s="15">
        <f>AVERAGE(I229,I231)*I13</f>
        <v>375799769.75086701</v>
      </c>
      <c r="J232" s="15">
        <f>AVERAGE(J229,J231)*J13</f>
        <v>382321146.41185939</v>
      </c>
      <c r="K232" s="15">
        <f>AVERAGE(K229,K231)*K13</f>
        <v>388842523.07285178</v>
      </c>
      <c r="L232" s="15">
        <f>AVERAGE(L229,L231)*L13</f>
        <v>395363899.73384416</v>
      </c>
    </row>
  </sheetData>
  <phoneticPr fontId="9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ChitShun Chan</cp:lastModifiedBy>
  <dcterms:created xsi:type="dcterms:W3CDTF">2026-03-18T11:09:45Z</dcterms:created>
  <dcterms:modified xsi:type="dcterms:W3CDTF">2026-03-19T00:44:15Z</dcterms:modified>
</cp:coreProperties>
</file>