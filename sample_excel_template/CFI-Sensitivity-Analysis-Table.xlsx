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G:\My Drive\!CFI Drive\Website - wordpress\Downloads\Excel\"/>
    </mc:Choice>
  </mc:AlternateContent>
  <xr:revisionPtr revIDLastSave="0" documentId="13_ncr:1_{C89C6EAC-C0DE-447A-894E-D8E2FB4243EC}" xr6:coauthVersionLast="40" xr6:coauthVersionMax="40" xr10:uidLastSave="{00000000-0000-0000-0000-000000000000}"/>
  <bookViews>
    <workbookView xWindow="0" yWindow="0" windowWidth="28800" windowHeight="12216" xr2:uid="{00000000-000D-0000-FFFF-FFFF00000000}"/>
  </bookViews>
  <sheets>
    <sheet name="Cover Page" sheetId="2" r:id="rId1"/>
    <sheet name="Sensitivity Analysis Table" sheetId="1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Page'!$A$1:$P$24</definedName>
  </definedNames>
  <calcPr calcId="18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 s="1"/>
  <c r="B8" i="1" s="1"/>
  <c r="D6" i="1"/>
  <c r="E6" i="1" s="1"/>
  <c r="D5" i="1"/>
  <c r="E5" i="1" s="1"/>
  <c r="F6" i="1" l="1"/>
  <c r="D8" i="1"/>
  <c r="E8" i="1" s="1"/>
  <c r="F8" i="1" s="1"/>
  <c r="B9" i="1"/>
  <c r="D7" i="1"/>
  <c r="E7" i="1" s="1"/>
  <c r="F7" i="1" s="1"/>
  <c r="D9" i="1" l="1"/>
  <c r="E9" i="1" s="1"/>
  <c r="F9" i="1" s="1"/>
  <c r="B10" i="1"/>
  <c r="D10" i="1" l="1"/>
  <c r="E10" i="1" s="1"/>
  <c r="F10" i="1" s="1"/>
  <c r="B11" i="1"/>
  <c r="B12" i="1" l="1"/>
  <c r="D11" i="1"/>
  <c r="E11" i="1" s="1"/>
  <c r="F11" i="1" s="1"/>
  <c r="D12" i="1" l="1"/>
  <c r="E12" i="1" s="1"/>
  <c r="F12" i="1" s="1"/>
  <c r="B13" i="1"/>
  <c r="D13" i="1" l="1"/>
  <c r="E13" i="1" s="1"/>
  <c r="F13" i="1" s="1"/>
  <c r="B14" i="1"/>
  <c r="D14" i="1" l="1"/>
  <c r="E14" i="1" s="1"/>
  <c r="F14" i="1" s="1"/>
  <c r="B15" i="1"/>
  <c r="D15" i="1" s="1"/>
  <c r="E15" i="1" s="1"/>
  <c r="F15" i="1" s="1"/>
</calcChain>
</file>

<file path=xl/sharedStrings.xml><?xml version="1.0" encoding="utf-8"?>
<sst xmlns="http://schemas.openxmlformats.org/spreadsheetml/2006/main" count="21" uniqueCount="19">
  <si>
    <t>Unit Price</t>
  </si>
  <si>
    <t>Revenue</t>
  </si>
  <si>
    <t>Mall Traffic Growth</t>
  </si>
  <si>
    <t>Sales Volume</t>
  </si>
  <si>
    <t>Rev. Increase</t>
  </si>
  <si>
    <t>na</t>
  </si>
  <si>
    <t>© Corporate Finance Institute®. All rights reserved.</t>
  </si>
  <si>
    <t>Sensitivity Analysis Table</t>
  </si>
  <si>
    <t>This file is for educational purposes only. E&amp;OE</t>
  </si>
  <si>
    <t xml:space="preserve">Corporate Finance Institute® </t>
  </si>
  <si>
    <t>https://corporatefinanceinstitute.com/</t>
  </si>
  <si>
    <t>Strictly Confidential</t>
  </si>
  <si>
    <t>Notes</t>
  </si>
  <si>
    <t>This Excel model is for educational purposes only and should not be used for any other reason.</t>
  </si>
  <si>
    <t>All content is Copyright material of CFI Education Inc.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</si>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</sst>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\(&quot;$&quot;#,##0\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_-* #,##0_-;\(#,##0\)_-;_-* &quot;-&quot;_-;_-@_-"/>
  </numFmts>
  <fonts count="1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1"/>
      <color theme="1"/>
      <name val="Open Sans"/>
      <family val="2"/>
    </font>
    <font>
      <sz val="10"/>
      <color theme="1"/>
      <name val="Open Sans"/>
      <family val="2"/>
    </font>
    <font>
      <sz val="10"/>
      <name val="Open Sans"/>
      <family val="2"/>
    </font>
    <font>
      <i/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070C0"/>
      <name val="Calibri"/>
      <family val="2"/>
      <scheme val="minor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6" fillId="0" borderId="0" applyNumberFormat="0" applyFill="0" applyBorder="0" applyAlignment="0" applyProtection="0"/>
  </cellStyleXfs>
  <cellXfs count="35">
    <xf numFmtId="0" fontId="0" fillId="0" borderId="0" xfId="0"/>
    <xf numFmtId="168" fontId="3" fillId="4" borderId="0" xfId="1" applyNumberFormat="1" applyFont="1" applyFill="1"/>
    <xf numFmtId="168" fontId="4" fillId="4" borderId="0" xfId="1" applyNumberFormat="1" applyFont="1" applyFill="1"/>
    <xf numFmtId="168" fontId="4" fillId="4" borderId="0" xfId="1" applyNumberFormat="1" applyFont="1" applyFill="1" applyAlignment="1">
      <alignment horizontal="center"/>
    </xf>
    <xf numFmtId="0" fontId="5" fillId="4" borderId="0" xfId="0" applyFont="1" applyFill="1" applyAlignment="1">
      <alignment vertical="center"/>
    </xf>
    <xf numFmtId="0" fontId="6" fillId="4" borderId="0" xfId="0" applyFont="1" applyFill="1"/>
    <xf numFmtId="0" fontId="7" fillId="0" borderId="0" xfId="0" applyFont="1"/>
    <xf numFmtId="9" fontId="7" fillId="0" borderId="0" xfId="2" applyFont="1"/>
    <xf numFmtId="0" fontId="8" fillId="0" borderId="0" xfId="0" applyFont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right"/>
    </xf>
    <xf numFmtId="167" fontId="8" fillId="0" borderId="0" xfId="2" applyNumberFormat="1" applyFont="1" applyAlignment="1">
      <alignment horizontal="left"/>
    </xf>
    <xf numFmtId="164" fontId="8" fillId="0" borderId="0" xfId="0" applyNumberFormat="1" applyFont="1"/>
    <xf numFmtId="166" fontId="8" fillId="0" borderId="0" xfId="1" applyNumberFormat="1" applyFont="1"/>
    <xf numFmtId="164" fontId="8" fillId="0" borderId="0" xfId="0" applyNumberFormat="1" applyFont="1" applyAlignment="1">
      <alignment horizontal="right"/>
    </xf>
    <xf numFmtId="9" fontId="8" fillId="0" borderId="0" xfId="2" applyFont="1"/>
    <xf numFmtId="167" fontId="9" fillId="2" borderId="0" xfId="2" applyNumberFormat="1" applyFont="1" applyFill="1" applyAlignment="1">
      <alignment horizontal="left"/>
    </xf>
    <xf numFmtId="164" fontId="9" fillId="2" borderId="0" xfId="0" applyNumberFormat="1" applyFont="1" applyFill="1"/>
    <xf numFmtId="166" fontId="9" fillId="2" borderId="0" xfId="1" applyNumberFormat="1" applyFont="1" applyFill="1"/>
    <xf numFmtId="9" fontId="9" fillId="2" borderId="0" xfId="2" applyFont="1" applyFill="1"/>
    <xf numFmtId="0" fontId="10" fillId="0" borderId="0" xfId="0" applyFont="1"/>
    <xf numFmtId="0" fontId="11" fillId="0" borderId="0" xfId="0" applyFont="1"/>
    <xf numFmtId="0" fontId="13" fillId="0" borderId="0" xfId="3" applyFont="1"/>
    <xf numFmtId="0" fontId="2" fillId="5" borderId="0" xfId="4" applyFont="1" applyFill="1"/>
    <xf numFmtId="0" fontId="2" fillId="0" borderId="0" xfId="4" applyFont="1" applyFill="1" applyBorder="1"/>
    <xf numFmtId="0" fontId="14" fillId="0" borderId="0" xfId="4" applyFont="1" applyFill="1" applyBorder="1" applyProtection="1">
      <protection locked="0"/>
    </xf>
    <xf numFmtId="0" fontId="15" fillId="0" borderId="0" xfId="4" applyFont="1" applyFill="1" applyBorder="1" applyAlignment="1">
      <alignment horizontal="right"/>
    </xf>
    <xf numFmtId="0" fontId="2" fillId="0" borderId="0" xfId="4" applyFont="1" applyFill="1" applyBorder="1" applyProtection="1">
      <protection locked="0"/>
    </xf>
    <xf numFmtId="0" fontId="1" fillId="0" borderId="0" xfId="4"/>
    <xf numFmtId="0" fontId="2" fillId="0" borderId="1" xfId="4" applyFont="1" applyFill="1" applyBorder="1"/>
    <xf numFmtId="0" fontId="17" fillId="0" borderId="0" xfId="5" applyFont="1" applyFill="1" applyBorder="1"/>
    <xf numFmtId="0" fontId="18" fillId="4" borderId="0" xfId="4" applyFont="1" applyFill="1" applyBorder="1"/>
    <xf numFmtId="0" fontId="2" fillId="4" borderId="0" xfId="4" applyFont="1" applyFill="1" applyBorder="1"/>
    <xf numFmtId="0" fontId="2" fillId="6" borderId="0" xfId="4" applyFont="1" applyFill="1"/>
    <xf numFmtId="0" fontId="18" fillId="4" borderId="0" xfId="4" applyFont="1" applyFill="1"/>
  </cellXfs>
  <cellStyles count="6">
    <cellStyle name="Comma" xfId="1" builtinId="3"/>
    <cellStyle name="Hyperlink 2 2" xfId="5" xr:uid="{77AD0D55-1D76-4727-B4B2-2FBA82C41579}"/>
    <cellStyle name="Hyperlink 3" xfId="3" xr:uid="{00000000-0005-0000-0000-000001000000}"/>
    <cellStyle name="Normal" xfId="0" builtinId="0"/>
    <cellStyle name="Normal 2 2 2" xfId="4" xr:uid="{E0C5F7FD-7BDF-4176-95E2-0CB15A9DC08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s://corporatefinanceinstitute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714374</xdr:colOff>
      <xdr:row>3</xdr:row>
      <xdr:rowOff>19050</xdr:rowOff>
    </xdr:from>
    <xdr:ext cx="3446303" cy="154051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C28F4-F851-4161-B5C5-16BC88060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4" y="745490"/>
          <a:ext cx="3446303" cy="15405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22</xdr:row>
      <xdr:rowOff>129314</xdr:rowOff>
    </xdr:from>
    <xdr:to>
      <xdr:col>1</xdr:col>
      <xdr:colOff>781051</xdr:colOff>
      <xdr:row>26</xdr:row>
      <xdr:rowOff>104773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C9C99-ACF3-4149-B593-7934C2D5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037A-80D9-4D54-A978-7B7BAD5A5AE1}">
  <dimension ref="B1:O44"/>
  <sheetViews>
    <sheetView showGridLines="0" tabSelected="1" zoomScaleNormal="100" workbookViewId="0"/>
  </sheetViews>
  <sheetFormatPr defaultColWidth="10.25" defaultRowHeight="13.8" x14ac:dyDescent="0.25"/>
  <cols>
    <col min="1" max="2" width="12.375" style="23" customWidth="1"/>
    <col min="3" max="3" width="37.25" style="23" customWidth="1"/>
    <col min="4" max="22" width="12.375" style="23" customWidth="1"/>
    <col min="23" max="25" width="10.25" style="23"/>
    <col min="26" max="26" width="10.25" style="23" customWidth="1"/>
    <col min="27" max="16384" width="10.25" style="23"/>
  </cols>
  <sheetData>
    <row r="1" spans="2:15" ht="19.5" customHeight="1" x14ac:dyDescent="0.25"/>
    <row r="2" spans="2:15" ht="19.5" customHeight="1" x14ac:dyDescent="0.25"/>
    <row r="3" spans="2:15" ht="19.5" customHeight="1" x14ac:dyDescent="0.25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2:15" ht="19.5" customHeight="1" x14ac:dyDescent="0.25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5" ht="19.5" customHeight="1" x14ac:dyDescent="0.25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2:15" ht="19.5" customHeight="1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2:15" ht="19.5" customHeight="1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2:15" ht="19.5" customHeight="1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2:15" ht="19.5" customHeight="1" x14ac:dyDescent="0.25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2:15" ht="19.5" customHeight="1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2:15" ht="19.5" customHeight="1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2:15" ht="28.2" x14ac:dyDescent="0.5">
      <c r="B12" s="24"/>
      <c r="C12" s="25" t="s">
        <v>7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6" t="s">
        <v>11</v>
      </c>
      <c r="O12" s="24"/>
    </row>
    <row r="13" spans="2:15" ht="19.5" customHeight="1" x14ac:dyDescent="0.25">
      <c r="B13" s="24"/>
      <c r="C13" s="2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2:15" ht="19.5" customHeight="1" x14ac:dyDescent="0.3">
      <c r="B14" s="24"/>
      <c r="C14" s="2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2:15" ht="19.5" customHeight="1" x14ac:dyDescent="0.3">
      <c r="B15" s="24"/>
      <c r="C15" s="2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2:15" ht="19.5" customHeight="1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2:15" ht="19.5" customHeight="1" x14ac:dyDescent="0.25">
      <c r="B17" s="24"/>
      <c r="C17" s="24" t="s">
        <v>12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2:15" ht="19.5" customHeight="1" x14ac:dyDescent="0.25">
      <c r="B18" s="24"/>
      <c r="C18" s="29" t="s">
        <v>13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4"/>
    </row>
    <row r="19" spans="2:15" ht="19.5" customHeight="1" x14ac:dyDescent="0.25">
      <c r="B19" s="24"/>
      <c r="C19" s="24" t="s">
        <v>14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2:15" ht="19.5" customHeight="1" x14ac:dyDescent="0.25">
      <c r="B20" s="24"/>
      <c r="C20" s="30" t="s">
        <v>10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2:15" ht="19.5" customHeight="1" x14ac:dyDescent="0.25">
      <c r="B21" s="24"/>
      <c r="C21" s="30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2:15" ht="19.5" customHeight="1" x14ac:dyDescent="0.25">
      <c r="B22" s="24"/>
      <c r="C22" s="31" t="s">
        <v>15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4"/>
    </row>
    <row r="23" spans="2:15" ht="19.5" customHeight="1" x14ac:dyDescent="0.25">
      <c r="B23" s="33"/>
      <c r="C23" s="34" t="s">
        <v>16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3"/>
    </row>
    <row r="24" spans="2:15" ht="19.5" customHeight="1" x14ac:dyDescent="0.25">
      <c r="B24" s="33"/>
      <c r="C24" s="34" t="s">
        <v>17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3"/>
    </row>
    <row r="25" spans="2:15" ht="19.5" customHeight="1" x14ac:dyDescent="0.25">
      <c r="B25" s="33"/>
      <c r="C25" s="34" t="s">
        <v>18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3"/>
    </row>
    <row r="26" spans="2:15" ht="19.5" customHeight="1" x14ac:dyDescent="0.25"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3"/>
    </row>
    <row r="27" spans="2:15" ht="19.5" customHeight="1" x14ac:dyDescent="0.25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2:15" ht="19.5" customHeight="1" x14ac:dyDescent="0.25"/>
    <row r="29" spans="2:15" ht="19.5" customHeight="1" x14ac:dyDescent="0.25"/>
    <row r="30" spans="2:15" ht="19.5" customHeight="1" x14ac:dyDescent="0.25"/>
    <row r="31" spans="2:15" ht="19.5" customHeight="1" x14ac:dyDescent="0.25"/>
    <row r="32" spans="2:15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</sheetData>
  <hyperlinks>
    <hyperlink ref="C20" r:id="rId1" xr:uid="{B5935BDA-1FCE-449F-9F74-4D3ADAE93A9D}"/>
  </hyperlinks>
  <pageMargins left="0.7" right="0.7" top="0.75" bottom="0.75" header="0.3" footer="0.3"/>
  <pageSetup scale="6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workbookViewId="0"/>
  </sheetViews>
  <sheetFormatPr defaultColWidth="9.125" defaultRowHeight="15.6" x14ac:dyDescent="0.35"/>
  <cols>
    <col min="1" max="1" width="9.125" style="6"/>
    <col min="2" max="2" width="19.125" style="6" customWidth="1"/>
    <col min="3" max="6" width="16.125" style="6" customWidth="1"/>
    <col min="7" max="16384" width="9.125" style="6"/>
  </cols>
  <sheetData>
    <row r="1" spans="1:10" ht="17.399999999999999" x14ac:dyDescent="0.4">
      <c r="A1" s="1" t="s">
        <v>6</v>
      </c>
      <c r="B1" s="2"/>
      <c r="C1" s="2"/>
      <c r="D1" s="3"/>
      <c r="E1" s="3"/>
      <c r="F1" s="3"/>
      <c r="G1" s="3"/>
    </row>
    <row r="2" spans="1:10" ht="17.399999999999999" x14ac:dyDescent="0.4">
      <c r="A2" s="2"/>
      <c r="B2" s="4" t="s">
        <v>7</v>
      </c>
      <c r="C2" s="5"/>
      <c r="D2" s="5"/>
      <c r="E2" s="5"/>
      <c r="F2" s="3"/>
      <c r="G2" s="3"/>
    </row>
    <row r="3" spans="1:10" x14ac:dyDescent="0.3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x14ac:dyDescent="0.35">
      <c r="A4" s="8"/>
      <c r="B4" s="9" t="s">
        <v>2</v>
      </c>
      <c r="C4" s="10" t="s">
        <v>0</v>
      </c>
      <c r="D4" s="10" t="s">
        <v>3</v>
      </c>
      <c r="E4" s="10" t="s">
        <v>1</v>
      </c>
      <c r="F4" s="10" t="s">
        <v>4</v>
      </c>
      <c r="G4" s="8"/>
      <c r="H4" s="8"/>
      <c r="I4" s="8"/>
      <c r="J4" s="8"/>
    </row>
    <row r="5" spans="1:10" x14ac:dyDescent="0.35">
      <c r="A5" s="8"/>
      <c r="B5" s="11">
        <v>0</v>
      </c>
      <c r="C5" s="12">
        <v>20</v>
      </c>
      <c r="D5" s="13">
        <f t="shared" ref="D5:D15" si="0">$D$17*(1+(B5*$C$17))</f>
        <v>500</v>
      </c>
      <c r="E5" s="12">
        <f>+D5*C5</f>
        <v>10000</v>
      </c>
      <c r="F5" s="14" t="s">
        <v>5</v>
      </c>
      <c r="G5" s="8"/>
      <c r="H5" s="8"/>
      <c r="I5" s="8"/>
      <c r="J5" s="8"/>
    </row>
    <row r="6" spans="1:10" x14ac:dyDescent="0.35">
      <c r="A6" s="8"/>
      <c r="B6" s="11">
        <f>+B5+0.1</f>
        <v>0.1</v>
      </c>
      <c r="C6" s="12">
        <v>20</v>
      </c>
      <c r="D6" s="13">
        <f t="shared" si="0"/>
        <v>535</v>
      </c>
      <c r="E6" s="12">
        <f>+D6*C6</f>
        <v>10700</v>
      </c>
      <c r="F6" s="15">
        <f>+E6/$E$5-1</f>
        <v>7.0000000000000062E-2</v>
      </c>
      <c r="G6" s="8"/>
      <c r="H6" s="8"/>
      <c r="I6" s="8"/>
      <c r="J6" s="8"/>
    </row>
    <row r="7" spans="1:10" x14ac:dyDescent="0.35">
      <c r="A7" s="8"/>
      <c r="B7" s="16">
        <f t="shared" ref="B7:B15" si="1">+B6+0.1</f>
        <v>0.2</v>
      </c>
      <c r="C7" s="17">
        <v>20</v>
      </c>
      <c r="D7" s="18">
        <f t="shared" si="0"/>
        <v>570</v>
      </c>
      <c r="E7" s="17">
        <f t="shared" ref="E7:E12" si="2">+D7*C7</f>
        <v>11400</v>
      </c>
      <c r="F7" s="19">
        <f t="shared" ref="F7:F15" si="3">+E7/$E$5-1</f>
        <v>0.1399999999999999</v>
      </c>
      <c r="G7" s="8"/>
      <c r="H7" s="8"/>
      <c r="I7" s="8"/>
      <c r="J7" s="8"/>
    </row>
    <row r="8" spans="1:10" x14ac:dyDescent="0.35">
      <c r="A8" s="8"/>
      <c r="B8" s="11">
        <f t="shared" si="1"/>
        <v>0.30000000000000004</v>
      </c>
      <c r="C8" s="12">
        <v>20</v>
      </c>
      <c r="D8" s="13">
        <f t="shared" si="0"/>
        <v>605</v>
      </c>
      <c r="E8" s="12">
        <f t="shared" si="2"/>
        <v>12100</v>
      </c>
      <c r="F8" s="15">
        <f t="shared" si="3"/>
        <v>0.20999999999999996</v>
      </c>
      <c r="G8" s="8"/>
      <c r="H8" s="8"/>
      <c r="I8" s="8"/>
      <c r="J8" s="8"/>
    </row>
    <row r="9" spans="1:10" x14ac:dyDescent="0.35">
      <c r="A9" s="8"/>
      <c r="B9" s="16">
        <f t="shared" si="1"/>
        <v>0.4</v>
      </c>
      <c r="C9" s="17">
        <v>20</v>
      </c>
      <c r="D9" s="18">
        <f t="shared" si="0"/>
        <v>640</v>
      </c>
      <c r="E9" s="17">
        <f t="shared" si="2"/>
        <v>12800</v>
      </c>
      <c r="F9" s="19">
        <f t="shared" si="3"/>
        <v>0.28000000000000003</v>
      </c>
      <c r="G9" s="8"/>
      <c r="H9" s="8"/>
      <c r="I9" s="8"/>
      <c r="J9" s="8"/>
    </row>
    <row r="10" spans="1:10" x14ac:dyDescent="0.35">
      <c r="A10" s="8"/>
      <c r="B10" s="11">
        <f t="shared" si="1"/>
        <v>0.5</v>
      </c>
      <c r="C10" s="12">
        <v>20</v>
      </c>
      <c r="D10" s="13">
        <f t="shared" si="0"/>
        <v>675</v>
      </c>
      <c r="E10" s="12">
        <f t="shared" si="2"/>
        <v>13500</v>
      </c>
      <c r="F10" s="15">
        <f t="shared" si="3"/>
        <v>0.35000000000000009</v>
      </c>
      <c r="G10" s="8"/>
      <c r="H10" s="8"/>
      <c r="I10" s="8"/>
      <c r="J10" s="8"/>
    </row>
    <row r="11" spans="1:10" x14ac:dyDescent="0.35">
      <c r="A11" s="8"/>
      <c r="B11" s="11">
        <f t="shared" si="1"/>
        <v>0.6</v>
      </c>
      <c r="C11" s="12">
        <v>20</v>
      </c>
      <c r="D11" s="13">
        <f t="shared" si="0"/>
        <v>710</v>
      </c>
      <c r="E11" s="12">
        <f t="shared" si="2"/>
        <v>14200</v>
      </c>
      <c r="F11" s="15">
        <f t="shared" si="3"/>
        <v>0.41999999999999993</v>
      </c>
      <c r="G11" s="8"/>
      <c r="H11" s="8"/>
      <c r="I11" s="8"/>
      <c r="J11" s="8"/>
    </row>
    <row r="12" spans="1:10" x14ac:dyDescent="0.35">
      <c r="A12" s="8"/>
      <c r="B12" s="11">
        <f t="shared" si="1"/>
        <v>0.7</v>
      </c>
      <c r="C12" s="12">
        <v>20</v>
      </c>
      <c r="D12" s="13">
        <f t="shared" si="0"/>
        <v>745</v>
      </c>
      <c r="E12" s="12">
        <f t="shared" si="2"/>
        <v>14900</v>
      </c>
      <c r="F12" s="15">
        <f t="shared" si="3"/>
        <v>0.49</v>
      </c>
      <c r="G12" s="8"/>
      <c r="H12" s="8"/>
      <c r="I12" s="8"/>
      <c r="J12" s="8"/>
    </row>
    <row r="13" spans="1:10" x14ac:dyDescent="0.35">
      <c r="A13" s="8"/>
      <c r="B13" s="11">
        <f t="shared" si="1"/>
        <v>0.79999999999999993</v>
      </c>
      <c r="C13" s="12">
        <v>20</v>
      </c>
      <c r="D13" s="13">
        <f t="shared" si="0"/>
        <v>780</v>
      </c>
      <c r="E13" s="12">
        <f t="shared" ref="E13:E15" si="4">+D13*C13</f>
        <v>15600</v>
      </c>
      <c r="F13" s="15">
        <f t="shared" si="3"/>
        <v>0.56000000000000005</v>
      </c>
      <c r="G13" s="8"/>
      <c r="H13" s="8"/>
      <c r="I13" s="8"/>
      <c r="J13" s="8"/>
    </row>
    <row r="14" spans="1:10" x14ac:dyDescent="0.35">
      <c r="A14" s="8"/>
      <c r="B14" s="11">
        <f t="shared" si="1"/>
        <v>0.89999999999999991</v>
      </c>
      <c r="C14" s="12">
        <v>20</v>
      </c>
      <c r="D14" s="13">
        <f t="shared" si="0"/>
        <v>815</v>
      </c>
      <c r="E14" s="12">
        <f t="shared" si="4"/>
        <v>16300</v>
      </c>
      <c r="F14" s="15">
        <f t="shared" si="3"/>
        <v>0.62999999999999989</v>
      </c>
      <c r="G14" s="8"/>
      <c r="H14" s="8"/>
      <c r="I14" s="8"/>
      <c r="J14" s="8"/>
    </row>
    <row r="15" spans="1:10" x14ac:dyDescent="0.35">
      <c r="A15" s="8"/>
      <c r="B15" s="16">
        <f t="shared" si="1"/>
        <v>0.99999999999999989</v>
      </c>
      <c r="C15" s="17">
        <v>20</v>
      </c>
      <c r="D15" s="18">
        <f t="shared" si="0"/>
        <v>849.99999999999989</v>
      </c>
      <c r="E15" s="17">
        <f t="shared" si="4"/>
        <v>16999.999999999996</v>
      </c>
      <c r="F15" s="19">
        <f t="shared" si="3"/>
        <v>0.69999999999999973</v>
      </c>
      <c r="G15" s="8"/>
      <c r="H15" s="8"/>
      <c r="I15" s="8"/>
      <c r="J15" s="8"/>
    </row>
    <row r="16" spans="1:1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5">
      <c r="A17" s="8"/>
      <c r="B17" s="8"/>
      <c r="C17" s="8">
        <v>0.7</v>
      </c>
      <c r="D17" s="8">
        <v>500</v>
      </c>
      <c r="E17" s="8"/>
      <c r="F17" s="8"/>
      <c r="G17" s="8"/>
      <c r="H17" s="8"/>
      <c r="I17" s="8"/>
      <c r="J17" s="8"/>
    </row>
    <row r="18" spans="1:1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5">
      <c r="A19" s="8"/>
      <c r="B19" s="15"/>
      <c r="C19" s="8"/>
      <c r="D19" s="8"/>
      <c r="E19" s="8"/>
      <c r="F19" s="8"/>
      <c r="G19" s="8"/>
      <c r="H19" s="8"/>
      <c r="I19" s="8"/>
      <c r="J19" s="8"/>
    </row>
    <row r="20" spans="1:10" x14ac:dyDescent="0.35">
      <c r="B20" s="7"/>
    </row>
    <row r="21" spans="1:10" ht="16.2" x14ac:dyDescent="0.35">
      <c r="B21" s="20" t="s">
        <v>8</v>
      </c>
    </row>
    <row r="22" spans="1:10" ht="16.2" x14ac:dyDescent="0.35">
      <c r="B22" s="21"/>
    </row>
    <row r="23" spans="1:10" ht="16.2" x14ac:dyDescent="0.35">
      <c r="B23" s="21"/>
    </row>
    <row r="24" spans="1:10" ht="16.2" x14ac:dyDescent="0.35">
      <c r="B24" s="21"/>
    </row>
    <row r="25" spans="1:10" ht="16.2" x14ac:dyDescent="0.35">
      <c r="B25" s="21"/>
    </row>
    <row r="26" spans="1:10" ht="16.2" x14ac:dyDescent="0.35">
      <c r="B26" s="21"/>
    </row>
    <row r="27" spans="1:10" ht="16.2" x14ac:dyDescent="0.35">
      <c r="B27" s="21"/>
    </row>
    <row r="28" spans="1:10" ht="16.2" x14ac:dyDescent="0.35">
      <c r="B28" s="21" t="s">
        <v>9</v>
      </c>
    </row>
    <row r="29" spans="1:10" ht="16.2" x14ac:dyDescent="0.35">
      <c r="B29" s="22" t="s">
        <v>10</v>
      </c>
    </row>
  </sheetData>
  <hyperlinks>
    <hyperlink ref="B29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Sensitivity Analysis Table</vt:lpstr>
      <vt:lpstr>'Cover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Katie Au Yeung</cp:lastModifiedBy>
  <dcterms:created xsi:type="dcterms:W3CDTF">2017-08-16T15:35:31Z</dcterms:created>
  <dcterms:modified xsi:type="dcterms:W3CDTF">2019-01-10T17:24:40Z</dcterms:modified>
</cp:coreProperties>
</file>