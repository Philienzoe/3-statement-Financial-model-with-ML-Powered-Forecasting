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7fbb6f29d0ecbb2/Desktop/financial_modeling/sample_excel_template/"/>
    </mc:Choice>
  </mc:AlternateContent>
  <xr:revisionPtr revIDLastSave="3" documentId="13_ncr:1_{32B66D99-70A3-4233-9473-8AB2438FF812}" xr6:coauthVersionLast="47" xr6:coauthVersionMax="47" xr10:uidLastSave="{002ABAC4-35FD-4BEB-9234-6D711BAAC3E3}"/>
  <bookViews>
    <workbookView xWindow="12500" yWindow="0" windowWidth="12750" windowHeight="15370" xr2:uid="{00000000-000D-0000-FFFF-FFFF00000000}"/>
  </bookViews>
  <sheets>
    <sheet name="Three Statement Model" sheetId="2" r:id="rId1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Wz6wbBQJYzkd08k8WBcMP626QnQ=="/>
    </ext>
  </extLst>
</workbook>
</file>

<file path=xl/calcChain.xml><?xml version="1.0" encoding="utf-8"?>
<calcChain xmlns="http://schemas.openxmlformats.org/spreadsheetml/2006/main">
  <c r="H111" i="2" l="1"/>
  <c r="G111" i="2"/>
  <c r="F111" i="2"/>
  <c r="E111" i="2"/>
  <c r="D111" i="2"/>
  <c r="H105" i="2"/>
  <c r="G105" i="2"/>
  <c r="F105" i="2"/>
  <c r="E105" i="2"/>
  <c r="D105" i="2"/>
  <c r="M103" i="2"/>
  <c r="M76" i="2" s="1"/>
  <c r="L103" i="2"/>
  <c r="L76" i="2" s="1"/>
  <c r="K103" i="2"/>
  <c r="J103" i="2"/>
  <c r="I103" i="2"/>
  <c r="I76" i="2" s="1"/>
  <c r="H103" i="2"/>
  <c r="G103" i="2"/>
  <c r="F103" i="2"/>
  <c r="E103" i="2"/>
  <c r="D103" i="2"/>
  <c r="D104" i="2" s="1"/>
  <c r="E102" i="2" s="1"/>
  <c r="H98" i="2"/>
  <c r="G98" i="2"/>
  <c r="F98" i="2"/>
  <c r="E98" i="2"/>
  <c r="D98" i="2"/>
  <c r="M97" i="2"/>
  <c r="M72" i="2" s="1"/>
  <c r="M73" i="2" s="1"/>
  <c r="M115" i="2" s="1"/>
  <c r="L97" i="2"/>
  <c r="L72" i="2" s="1"/>
  <c r="L73" i="2" s="1"/>
  <c r="L115" i="2" s="1"/>
  <c r="K97" i="2"/>
  <c r="K72" i="2" s="1"/>
  <c r="K73" i="2" s="1"/>
  <c r="K115" i="2" s="1"/>
  <c r="J97" i="2"/>
  <c r="J72" i="2" s="1"/>
  <c r="J73" i="2" s="1"/>
  <c r="J115" i="2" s="1"/>
  <c r="I97" i="2"/>
  <c r="I72" i="2" s="1"/>
  <c r="I73" i="2" s="1"/>
  <c r="I115" i="2" s="1"/>
  <c r="H97" i="2"/>
  <c r="G97" i="2"/>
  <c r="F97" i="2"/>
  <c r="E97" i="2"/>
  <c r="D97" i="2"/>
  <c r="H91" i="2"/>
  <c r="G91" i="2"/>
  <c r="F91" i="2"/>
  <c r="E91" i="2"/>
  <c r="D91" i="2"/>
  <c r="H90" i="2"/>
  <c r="G90" i="2"/>
  <c r="F90" i="2"/>
  <c r="E90" i="2"/>
  <c r="D90" i="2"/>
  <c r="H89" i="2"/>
  <c r="G89" i="2"/>
  <c r="F89" i="2"/>
  <c r="E89" i="2"/>
  <c r="D89" i="2"/>
  <c r="H78" i="2"/>
  <c r="H116" i="2" s="1"/>
  <c r="G78" i="2"/>
  <c r="G116" i="2" s="1"/>
  <c r="F78" i="2"/>
  <c r="F116" i="2" s="1"/>
  <c r="E78" i="2"/>
  <c r="E116" i="2" s="1"/>
  <c r="D78" i="2"/>
  <c r="D116" i="2" s="1"/>
  <c r="M77" i="2"/>
  <c r="L77" i="2"/>
  <c r="K77" i="2"/>
  <c r="J77" i="2"/>
  <c r="I77" i="2"/>
  <c r="I55" i="2" s="1"/>
  <c r="K76" i="2"/>
  <c r="J76" i="2"/>
  <c r="H73" i="2"/>
  <c r="H115" i="2" s="1"/>
  <c r="G73" i="2"/>
  <c r="G115" i="2" s="1"/>
  <c r="F73" i="2"/>
  <c r="F115" i="2" s="1"/>
  <c r="E73" i="2"/>
  <c r="E115" i="2" s="1"/>
  <c r="D73" i="2"/>
  <c r="D115" i="2" s="1"/>
  <c r="H69" i="2"/>
  <c r="H114" i="2" s="1"/>
  <c r="G69" i="2"/>
  <c r="G114" i="2" s="1"/>
  <c r="F69" i="2"/>
  <c r="E69" i="2"/>
  <c r="D69" i="2"/>
  <c r="H57" i="2"/>
  <c r="G57" i="2"/>
  <c r="F57" i="2"/>
  <c r="E57" i="2"/>
  <c r="D57" i="2"/>
  <c r="H53" i="2"/>
  <c r="G53" i="2"/>
  <c r="F53" i="2"/>
  <c r="E53" i="2"/>
  <c r="D53" i="2"/>
  <c r="H48" i="2"/>
  <c r="G48" i="2"/>
  <c r="F48" i="2"/>
  <c r="E48" i="2"/>
  <c r="D48" i="2"/>
  <c r="H34" i="2"/>
  <c r="G34" i="2"/>
  <c r="F34" i="2"/>
  <c r="E34" i="2"/>
  <c r="D34" i="2"/>
  <c r="M31" i="2"/>
  <c r="L31" i="2"/>
  <c r="K31" i="2"/>
  <c r="J31" i="2"/>
  <c r="I31" i="2"/>
  <c r="H28" i="2"/>
  <c r="H112" i="2" s="1"/>
  <c r="G28" i="2"/>
  <c r="F28" i="2"/>
  <c r="E28" i="2"/>
  <c r="E112" i="2" s="1"/>
  <c r="D28" i="2"/>
  <c r="D112" i="2" s="1"/>
  <c r="I26" i="2"/>
  <c r="I45" i="2" s="1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E2" i="2"/>
  <c r="F2" i="2" s="1"/>
  <c r="G2" i="2" s="1"/>
  <c r="H2" i="2" s="1"/>
  <c r="I2" i="2" s="1"/>
  <c r="J2" i="2" s="1"/>
  <c r="K2" i="2" s="1"/>
  <c r="L2" i="2" s="1"/>
  <c r="M2" i="2" s="1"/>
  <c r="H58" i="2" l="1"/>
  <c r="H60" i="2" s="1"/>
  <c r="H3" i="2" s="1"/>
  <c r="E58" i="2"/>
  <c r="E60" i="2" s="1"/>
  <c r="E3" i="2" s="1"/>
  <c r="H92" i="2"/>
  <c r="F58" i="2"/>
  <c r="F60" i="2" s="1"/>
  <c r="F3" i="2" s="1"/>
  <c r="E104" i="2"/>
  <c r="F102" i="2" s="1"/>
  <c r="F104" i="2" s="1"/>
  <c r="G102" i="2" s="1"/>
  <c r="G104" i="2" s="1"/>
  <c r="H102" i="2" s="1"/>
  <c r="H104" i="2" s="1"/>
  <c r="I102" i="2" s="1"/>
  <c r="I104" i="2" s="1"/>
  <c r="D58" i="2"/>
  <c r="D60" i="2" s="1"/>
  <c r="D3" i="2" s="1"/>
  <c r="I78" i="2"/>
  <c r="I116" i="2" s="1"/>
  <c r="J78" i="2"/>
  <c r="J116" i="2" s="1"/>
  <c r="K78" i="2"/>
  <c r="K116" i="2" s="1"/>
  <c r="G58" i="2"/>
  <c r="G60" i="2" s="1"/>
  <c r="G3" i="2" s="1"/>
  <c r="F92" i="2"/>
  <c r="G92" i="2"/>
  <c r="G93" i="2" s="1"/>
  <c r="L78" i="2"/>
  <c r="L116" i="2" s="1"/>
  <c r="D35" i="2"/>
  <c r="G80" i="2"/>
  <c r="E92" i="2"/>
  <c r="D99" i="2"/>
  <c r="E96" i="2" s="1"/>
  <c r="E99" i="2" s="1"/>
  <c r="F96" i="2" s="1"/>
  <c r="F99" i="2" s="1"/>
  <c r="G96" i="2" s="1"/>
  <c r="G99" i="2" s="1"/>
  <c r="H96" i="2" s="1"/>
  <c r="H99" i="2" s="1"/>
  <c r="I96" i="2" s="1"/>
  <c r="M78" i="2"/>
  <c r="M116" i="2" s="1"/>
  <c r="H35" i="2"/>
  <c r="H38" i="2" s="1"/>
  <c r="H80" i="2"/>
  <c r="D92" i="2"/>
  <c r="D93" i="2" s="1"/>
  <c r="E35" i="2"/>
  <c r="E38" i="2" s="1"/>
  <c r="D80" i="2"/>
  <c r="D82" i="2" s="1"/>
  <c r="E81" i="2" s="1"/>
  <c r="D114" i="2"/>
  <c r="E80" i="2"/>
  <c r="F80" i="2"/>
  <c r="I27" i="2"/>
  <c r="I89" i="2"/>
  <c r="I30" i="2"/>
  <c r="I111" i="2"/>
  <c r="J26" i="2"/>
  <c r="J45" i="2" s="1"/>
  <c r="F112" i="2"/>
  <c r="F35" i="2"/>
  <c r="G112" i="2"/>
  <c r="G35" i="2"/>
  <c r="J55" i="2"/>
  <c r="E114" i="2"/>
  <c r="F114" i="2"/>
  <c r="I98" i="2" l="1"/>
  <c r="I67" i="2" s="1"/>
  <c r="I32" i="2" s="1"/>
  <c r="I28" i="2"/>
  <c r="I46" i="2"/>
  <c r="I90" i="2" s="1"/>
  <c r="I51" i="2"/>
  <c r="I105" i="2"/>
  <c r="I33" i="2" s="1"/>
  <c r="H93" i="2"/>
  <c r="H14" i="2"/>
  <c r="E93" i="2"/>
  <c r="E14" i="2"/>
  <c r="E82" i="2"/>
  <c r="F81" i="2" s="1"/>
  <c r="F82" i="2" s="1"/>
  <c r="G81" i="2" s="1"/>
  <c r="G82" i="2" s="1"/>
  <c r="H81" i="2" s="1"/>
  <c r="H82" i="2" s="1"/>
  <c r="I81" i="2" s="1"/>
  <c r="F93" i="2"/>
  <c r="D38" i="2"/>
  <c r="D14" i="2"/>
  <c r="G38" i="2"/>
  <c r="G14" i="2"/>
  <c r="I112" i="2"/>
  <c r="F38" i="2"/>
  <c r="F14" i="2"/>
  <c r="K55" i="2"/>
  <c r="I52" i="2"/>
  <c r="J102" i="2"/>
  <c r="K26" i="2"/>
  <c r="K45" i="2" s="1"/>
  <c r="J89" i="2"/>
  <c r="J30" i="2"/>
  <c r="J27" i="2"/>
  <c r="J111" i="2"/>
  <c r="J28" i="2" l="1"/>
  <c r="J112" i="2" s="1"/>
  <c r="J51" i="2"/>
  <c r="J46" i="2"/>
  <c r="J90" i="2" s="1"/>
  <c r="I34" i="2"/>
  <c r="I35" i="2" s="1"/>
  <c r="I37" i="2" s="1"/>
  <c r="I38" i="2" s="1"/>
  <c r="I99" i="2"/>
  <c r="J96" i="2" s="1"/>
  <c r="L55" i="2"/>
  <c r="I91" i="2"/>
  <c r="I92" i="2" s="1"/>
  <c r="I93" i="2" s="1"/>
  <c r="I68" i="2" s="1"/>
  <c r="I53" i="2"/>
  <c r="K89" i="2"/>
  <c r="K30" i="2"/>
  <c r="K27" i="2"/>
  <c r="K111" i="2"/>
  <c r="L26" i="2"/>
  <c r="L45" i="2" s="1"/>
  <c r="J104" i="2"/>
  <c r="J105" i="2"/>
  <c r="J33" i="2" s="1"/>
  <c r="K28" i="2" l="1"/>
  <c r="K51" i="2"/>
  <c r="K46" i="2"/>
  <c r="K90" i="2" s="1"/>
  <c r="I47" i="2"/>
  <c r="K112" i="2"/>
  <c r="I56" i="2"/>
  <c r="I66" i="2"/>
  <c r="I69" i="2" s="1"/>
  <c r="M55" i="2"/>
  <c r="J91" i="2"/>
  <c r="J92" i="2" s="1"/>
  <c r="J93" i="2" s="1"/>
  <c r="J68" i="2" s="1"/>
  <c r="K102" i="2"/>
  <c r="J52" i="2"/>
  <c r="J53" i="2" s="1"/>
  <c r="L89" i="2"/>
  <c r="L30" i="2"/>
  <c r="L27" i="2"/>
  <c r="L111" i="2"/>
  <c r="M26" i="2"/>
  <c r="M45" i="2" s="1"/>
  <c r="J98" i="2"/>
  <c r="J67" i="2" s="1"/>
  <c r="J32" i="2" s="1"/>
  <c r="J34" i="2" s="1"/>
  <c r="J35" i="2" s="1"/>
  <c r="L28" i="2" l="1"/>
  <c r="L112" i="2" s="1"/>
  <c r="L46" i="2"/>
  <c r="L51" i="2"/>
  <c r="J99" i="2"/>
  <c r="I114" i="2"/>
  <c r="I80" i="2"/>
  <c r="I82" i="2" s="1"/>
  <c r="L90" i="2"/>
  <c r="I57" i="2"/>
  <c r="I58" i="2" s="1"/>
  <c r="J37" i="2"/>
  <c r="J38" i="2" s="1"/>
  <c r="M27" i="2"/>
  <c r="M111" i="2"/>
  <c r="M89" i="2"/>
  <c r="M30" i="2"/>
  <c r="K104" i="2"/>
  <c r="K105" i="2" s="1"/>
  <c r="K33" i="2" s="1"/>
  <c r="K91" i="2"/>
  <c r="K92" i="2" s="1"/>
  <c r="K93" i="2" s="1"/>
  <c r="K68" i="2" s="1"/>
  <c r="M46" i="2" l="1"/>
  <c r="M90" i="2" s="1"/>
  <c r="M51" i="2"/>
  <c r="J66" i="2"/>
  <c r="J69" i="2" s="1"/>
  <c r="J56" i="2"/>
  <c r="K52" i="2"/>
  <c r="K53" i="2" s="1"/>
  <c r="L102" i="2"/>
  <c r="I44" i="2"/>
  <c r="I48" i="2" s="1"/>
  <c r="I60" i="2" s="1"/>
  <c r="I3" i="2" s="1"/>
  <c r="J81" i="2"/>
  <c r="L91" i="2"/>
  <c r="L92" i="2" s="1"/>
  <c r="L93" i="2" s="1"/>
  <c r="L68" i="2" s="1"/>
  <c r="K96" i="2"/>
  <c r="J47" i="2"/>
  <c r="M28" i="2"/>
  <c r="M91" i="2" l="1"/>
  <c r="M92" i="2" s="1"/>
  <c r="M93" i="2" s="1"/>
  <c r="M68" i="2" s="1"/>
  <c r="L104" i="2"/>
  <c r="L105" i="2" s="1"/>
  <c r="L33" i="2" s="1"/>
  <c r="M112" i="2"/>
  <c r="J57" i="2"/>
  <c r="J58" i="2" s="1"/>
  <c r="K98" i="2"/>
  <c r="K67" i="2" s="1"/>
  <c r="K32" i="2" s="1"/>
  <c r="K34" i="2" s="1"/>
  <c r="K35" i="2" s="1"/>
  <c r="J80" i="2"/>
  <c r="J82" i="2" s="1"/>
  <c r="J114" i="2"/>
  <c r="K99" i="2" l="1"/>
  <c r="K47" i="2" s="1"/>
  <c r="K81" i="2"/>
  <c r="J44" i="2"/>
  <c r="J48" i="2" s="1"/>
  <c r="J60" i="2" s="1"/>
  <c r="J3" i="2" s="1"/>
  <c r="K37" i="2"/>
  <c r="K38" i="2" s="1"/>
  <c r="L52" i="2"/>
  <c r="L53" i="2" s="1"/>
  <c r="M102" i="2"/>
  <c r="L96" i="2"/>
  <c r="L98" i="2" l="1"/>
  <c r="L67" i="2" s="1"/>
  <c r="L32" i="2" s="1"/>
  <c r="L34" i="2" s="1"/>
  <c r="L35" i="2" s="1"/>
  <c r="M104" i="2"/>
  <c r="M52" i="2" s="1"/>
  <c r="M53" i="2" s="1"/>
  <c r="K66" i="2"/>
  <c r="K69" i="2" s="1"/>
  <c r="K56" i="2"/>
  <c r="L99" i="2" l="1"/>
  <c r="M96" i="2" s="1"/>
  <c r="M105" i="2"/>
  <c r="M33" i="2" s="1"/>
  <c r="K57" i="2"/>
  <c r="K58" i="2" s="1"/>
  <c r="K80" i="2"/>
  <c r="K82" i="2" s="1"/>
  <c r="K114" i="2"/>
  <c r="L37" i="2"/>
  <c r="L38" i="2" s="1"/>
  <c r="L66" i="2" s="1"/>
  <c r="L69" i="2" s="1"/>
  <c r="L47" i="2" l="1"/>
  <c r="L80" i="2"/>
  <c r="L114" i="2"/>
  <c r="M98" i="2"/>
  <c r="M67" i="2" s="1"/>
  <c r="M32" i="2" s="1"/>
  <c r="M34" i="2" s="1"/>
  <c r="M35" i="2" s="1"/>
  <c r="K44" i="2"/>
  <c r="K48" i="2" s="1"/>
  <c r="K60" i="2" s="1"/>
  <c r="K3" i="2" s="1"/>
  <c r="L81" i="2"/>
  <c r="L56" i="2"/>
  <c r="L57" i="2" l="1"/>
  <c r="L58" i="2" s="1"/>
  <c r="M37" i="2"/>
  <c r="M38" i="2" s="1"/>
  <c r="M99" i="2"/>
  <c r="M47" i="2" s="1"/>
  <c r="L82" i="2"/>
  <c r="M66" i="2" l="1"/>
  <c r="M69" i="2" s="1"/>
  <c r="M56" i="2"/>
  <c r="M57" i="2" s="1"/>
  <c r="M58" i="2" s="1"/>
  <c r="L44" i="2"/>
  <c r="L48" i="2" s="1"/>
  <c r="L60" i="2" s="1"/>
  <c r="L3" i="2" s="1"/>
  <c r="M81" i="2"/>
  <c r="M80" i="2" l="1"/>
  <c r="M82" i="2" s="1"/>
  <c r="M44" i="2" s="1"/>
  <c r="M48" i="2" s="1"/>
  <c r="M60" i="2" s="1"/>
  <c r="M3" i="2" s="1"/>
  <c r="M1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I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
Average balance</t>
        </r>
      </text>
    </comment>
    <comment ref="A10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bhEm48HDhyUiKA9AhkULVfZX8g=="/>
    </ext>
  </extLst>
</comments>
</file>

<file path=xl/sharedStrings.xml><?xml version="1.0" encoding="utf-8"?>
<sst xmlns="http://schemas.openxmlformats.org/spreadsheetml/2006/main" count="88" uniqueCount="79">
  <si>
    <t>Historical Results</t>
  </si>
  <si>
    <t xml:space="preserve"> Forecast Period</t>
  </si>
  <si>
    <t>Balance Sheet Check</t>
  </si>
  <si>
    <t>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</si>
  <si>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</si>
  <si>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</si>
  <si>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</si>
  <si>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</si>
  <si>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</si>
  <si>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</si>
  <si>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</si>
  <si>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</si>
  <si>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</si>
  <si>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</si>
  <si>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</si>
  <si>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</si>
  <si>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</si>
  <si>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</si>
  <si>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</si>
  <si>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</si>
  <si>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</si>
  <si>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</si>
  <si>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</si>
  <si>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</si>
  <si>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</si>
  <si>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</si>
  <si>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</si>
  <si>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</si>
  <si>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</si>
  <si>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</si>
  <si>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</si>
  <si>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</si>
  <si>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</si>
  <si>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</si>
  <si>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</si>
  <si>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</si>
  <si>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</si>
  <si>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</si>
  <si>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</si>
  <si>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</si>
  <si>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</si>
  <si>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</si>
  <si>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</si>
  <si>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</si>
  <si>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</si>
  <si>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</si>
  <si>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</si>
  <si>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</si>
  <si>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</si>
  <si>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</si>
  <si>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</si>
  <si>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</si>
  <si>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</si>
  <si>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</si>
  <si>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</si>
  <si>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</si>
  <si>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</si>
  <si>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</si>
  <si>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</si>
  <si>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</si>
  <si>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</si>
  <si>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</si>
  <si>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</si>
  <si>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</si>
  <si>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</si>
  <si>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</si>
  <si>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</si>
  <si>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</si>
  <si>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</si>
  <si>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</si>
  <si>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</si>
  <si>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</si>
  <si>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</si>
  <si>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</si>
  <si>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</si>
  <si>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</si>
  <si>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</si>
  <si>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>Days in Period</t>
  </si>
  <si>
    <t>Key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</si>
</sst>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-;\(#,##0\)_-;_-* &quot;-&quot;_-;_-@"/>
    <numFmt numFmtId="177" formatCode="0.0%"/>
    <numFmt numFmtId="178" formatCode="_(* #,##0_);_(* \(#,##0\);_(* &quot;-&quot;??_);_(@_)"/>
    <numFmt numFmtId="179" formatCode="_-* #,##0_-;\-* #,##0_-;_-* &quot;-&quot;??_-;_-@"/>
    <numFmt numFmtId="180" formatCode="0.0000_ ;\-0.0000\ 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name val="Calibri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4"/>
      <color rgb="FF3271D2"/>
      <name val="Open Sans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4"/>
      <name val="Arial Narrow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2"/>
      <color theme="1"/>
      <name val="Arial Narrow"/>
      <family val="2"/>
    </font>
    <font>
      <i/>
      <sz val="10"/>
      <color theme="1"/>
      <name val="Arial Narrow"/>
      <family val="2"/>
    </font>
    <font>
      <sz val="9"/>
      <name val="Calibri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000C3F"/>
        <bgColor rgb="FF132E57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rgb="FF1E8496"/>
      </patternFill>
    </fill>
    <fill>
      <patternFill patternType="solid">
        <fgColor rgb="FFE7F2FF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5"/>
    <xf numFmtId="0" fontId="18" fillId="0" borderId="5" applyNumberFormat="0" applyFill="0" applyBorder="0" applyAlignment="0" applyProtection="0"/>
    <xf numFmtId="0" fontId="19" fillId="0" borderId="5"/>
    <xf numFmtId="0" fontId="18" fillId="0" borderId="5" applyNumberFormat="0" applyFill="0" applyBorder="0" applyAlignment="0" applyProtection="0"/>
  </cellStyleXfs>
  <cellXfs count="52">
    <xf numFmtId="0" fontId="0" fillId="0" borderId="0" xfId="0"/>
    <xf numFmtId="176" fontId="3" fillId="0" borderId="0" xfId="0" applyNumberFormat="1" applyFont="1"/>
    <xf numFmtId="176" fontId="8" fillId="0" borderId="0" xfId="0" applyNumberFormat="1" applyFont="1"/>
    <xf numFmtId="176" fontId="3" fillId="0" borderId="0" xfId="0" applyNumberFormat="1" applyFont="1" applyAlignment="1">
      <alignment horizontal="center"/>
    </xf>
    <xf numFmtId="176" fontId="10" fillId="0" borderId="0" xfId="0" applyNumberFormat="1" applyFont="1"/>
    <xf numFmtId="176" fontId="11" fillId="0" borderId="0" xfId="0" applyNumberFormat="1" applyFont="1"/>
    <xf numFmtId="176" fontId="3" fillId="0" borderId="2" xfId="0" applyNumberFormat="1" applyFont="1" applyBorder="1"/>
    <xf numFmtId="176" fontId="11" fillId="0" borderId="2" xfId="0" applyNumberFormat="1" applyFont="1" applyBorder="1"/>
    <xf numFmtId="176" fontId="11" fillId="0" borderId="2" xfId="0" applyNumberFormat="1" applyFont="1" applyBorder="1" applyAlignment="1">
      <alignment horizontal="center"/>
    </xf>
    <xf numFmtId="177" fontId="3" fillId="0" borderId="2" xfId="0" applyNumberFormat="1" applyFont="1" applyBorder="1"/>
    <xf numFmtId="177" fontId="10" fillId="0" borderId="2" xfId="0" applyNumberFormat="1" applyFont="1" applyBorder="1"/>
    <xf numFmtId="177" fontId="3" fillId="0" borderId="0" xfId="0" applyNumberFormat="1" applyFont="1"/>
    <xf numFmtId="177" fontId="10" fillId="0" borderId="0" xfId="0" applyNumberFormat="1" applyFont="1"/>
    <xf numFmtId="176" fontId="9" fillId="0" borderId="0" xfId="0" applyNumberFormat="1" applyFont="1"/>
    <xf numFmtId="176" fontId="9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/>
    </xf>
    <xf numFmtId="176" fontId="12" fillId="0" borderId="0" xfId="0" applyNumberFormat="1" applyFont="1"/>
    <xf numFmtId="178" fontId="3" fillId="0" borderId="0" xfId="0" applyNumberFormat="1" applyFont="1"/>
    <xf numFmtId="9" fontId="12" fillId="0" borderId="0" xfId="0" applyNumberFormat="1" applyFont="1"/>
    <xf numFmtId="176" fontId="3" fillId="0" borderId="6" xfId="0" applyNumberFormat="1" applyFont="1" applyBorder="1"/>
    <xf numFmtId="176" fontId="3" fillId="0" borderId="6" xfId="0" applyNumberFormat="1" applyFont="1" applyBorder="1" applyAlignment="1">
      <alignment horizontal="center"/>
    </xf>
    <xf numFmtId="176" fontId="10" fillId="0" borderId="6" xfId="0" applyNumberFormat="1" applyFont="1" applyBorder="1"/>
    <xf numFmtId="176" fontId="11" fillId="0" borderId="7" xfId="0" applyNumberFormat="1" applyFont="1" applyBorder="1"/>
    <xf numFmtId="176" fontId="11" fillId="0" borderId="7" xfId="0" applyNumberFormat="1" applyFont="1" applyBorder="1" applyAlignment="1">
      <alignment horizontal="center"/>
    </xf>
    <xf numFmtId="0" fontId="13" fillId="0" borderId="0" xfId="0" applyFont="1"/>
    <xf numFmtId="179" fontId="3" fillId="0" borderId="0" xfId="0" applyNumberFormat="1" applyFont="1"/>
    <xf numFmtId="176" fontId="11" fillId="0" borderId="8" xfId="0" applyNumberFormat="1" applyFont="1" applyBorder="1"/>
    <xf numFmtId="176" fontId="11" fillId="0" borderId="8" xfId="0" applyNumberFormat="1" applyFont="1" applyBorder="1" applyAlignment="1">
      <alignment horizontal="center"/>
    </xf>
    <xf numFmtId="180" fontId="9" fillId="0" borderId="0" xfId="0" applyNumberFormat="1" applyFont="1"/>
    <xf numFmtId="180" fontId="9" fillId="0" borderId="0" xfId="0" applyNumberFormat="1" applyFont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9" fontId="3" fillId="0" borderId="0" xfId="0" applyNumberFormat="1" applyFont="1"/>
    <xf numFmtId="0" fontId="14" fillId="2" borderId="0" xfId="0" applyFont="1" applyFill="1" applyAlignment="1">
      <alignment vertical="center"/>
    </xf>
    <xf numFmtId="176" fontId="2" fillId="3" borderId="1" xfId="0" applyNumberFormat="1" applyFont="1" applyFill="1" applyBorder="1"/>
    <xf numFmtId="176" fontId="3" fillId="3" borderId="1" xfId="0" applyNumberFormat="1" applyFont="1" applyFill="1" applyBorder="1"/>
    <xf numFmtId="176" fontId="3" fillId="3" borderId="1" xfId="0" applyNumberFormat="1" applyFont="1" applyFill="1" applyBorder="1" applyAlignment="1">
      <alignment horizontal="center"/>
    </xf>
    <xf numFmtId="176" fontId="6" fillId="3" borderId="1" xfId="0" applyNumberFormat="1" applyFont="1" applyFill="1" applyBorder="1"/>
    <xf numFmtId="176" fontId="7" fillId="3" borderId="1" xfId="0" applyNumberFormat="1" applyFont="1" applyFill="1" applyBorder="1"/>
    <xf numFmtId="176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0" fontId="17" fillId="5" borderId="1" xfId="0" applyFont="1" applyFill="1" applyBorder="1"/>
    <xf numFmtId="176" fontId="20" fillId="0" borderId="0" xfId="0" applyNumberFormat="1" applyFont="1"/>
    <xf numFmtId="176" fontId="21" fillId="0" borderId="0" xfId="0" applyNumberFormat="1" applyFont="1"/>
    <xf numFmtId="176" fontId="21" fillId="0" borderId="0" xfId="0" applyNumberFormat="1" applyFont="1" applyAlignment="1">
      <alignment horizontal="center"/>
    </xf>
    <xf numFmtId="176" fontId="21" fillId="0" borderId="0" xfId="0" applyNumberFormat="1" applyFont="1" applyAlignment="1">
      <alignment horizontal="right"/>
    </xf>
    <xf numFmtId="176" fontId="15" fillId="5" borderId="3" xfId="0" applyNumberFormat="1" applyFont="1" applyFill="1" applyBorder="1" applyAlignment="1">
      <alignment horizontal="center"/>
    </xf>
    <xf numFmtId="0" fontId="16" fillId="6" borderId="4" xfId="0" applyFont="1" applyFill="1" applyBorder="1"/>
    <xf numFmtId="0" fontId="16" fillId="6" borderId="5" xfId="0" applyFont="1" applyFill="1" applyBorder="1"/>
    <xf numFmtId="176" fontId="4" fillId="3" borderId="3" xfId="0" applyNumberFormat="1" applyFont="1" applyFill="1" applyBorder="1" applyAlignment="1">
      <alignment horizontal="center"/>
    </xf>
    <xf numFmtId="0" fontId="5" fillId="4" borderId="4" xfId="0" applyFont="1" applyFill="1" applyBorder="1"/>
    <xf numFmtId="0" fontId="5" fillId="4" borderId="5" xfId="0" applyFont="1" applyFill="1" applyBorder="1"/>
  </cellXfs>
  <cellStyles count="5">
    <cellStyle name="Hyperlink 2" xfId="2" xr:uid="{30FD4205-4283-4A6A-A64B-284F31D794C7}"/>
    <cellStyle name="Hyperlink 2 2" xfId="4" xr:uid="{5A0AA4A2-96E2-4DCB-8D0F-2E73B6D49FE2}"/>
    <cellStyle name="Normal" xfId="0" builtinId="0"/>
    <cellStyle name="Normal 2" xfId="3" xr:uid="{34DC7261-9ACC-4036-8A8C-A03CE005F23F}"/>
    <cellStyle name="Normal 2 2 2" xfId="1" xr:uid="{E616C273-7B25-47FB-AA32-803AF9F46522}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000C3F"/>
      <color rgb="FFE7F2FF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Model'!$D$111:$M$111</c:f>
              <c:numCache>
                <c:formatCode>_-* #,##0_-;\(#,##0\)_-;_-* "-"_-;_-@</c:formatCode>
                <c:ptCount val="10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Model'!$A$112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Model'!$D$112:$M$112</c:f>
              <c:numCache>
                <c:formatCode>0%</c:formatCode>
                <c:ptCount val="10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0.57999999999999996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Model'!$A$114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Model'!$D$114:$M$114</c:f>
              <c:numCache>
                <c:formatCode>_-* #,##0_-;\(#,##0\)_-;_-* "-"_-;_-@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36500.749642739727</c:v>
                </c:pt>
                <c:pt idx="6">
                  <c:v>33124.748762356168</c:v>
                </c:pt>
                <c:pt idx="7">
                  <c:v>33652.121499158908</c:v>
                </c:pt>
                <c:pt idx="8">
                  <c:v>69849.248091132773</c:v>
                </c:pt>
                <c:pt idx="9">
                  <c:v>74464.041295148636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2A8-47A9-A19A-FCBBB5D3D5A8}"/>
            </c:ext>
          </c:extLst>
        </c:ser>
        <c:ser>
          <c:idx val="0"/>
          <c:order val="1"/>
          <c:tx>
            <c:strRef>
              <c:f>'Three Statement Model'!$A$115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Model'!$D$115:$M$115</c:f>
              <c:numCache>
                <c:formatCode>_-* #,##0_-;\(#,##0\)_-;_-* "-"_-;_-@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8-47A9-A19A-FCBBB5D3D5A8}"/>
            </c:ext>
          </c:extLst>
        </c:ser>
        <c:ser>
          <c:idx val="2"/>
          <c:order val="2"/>
          <c:tx>
            <c:strRef>
              <c:f>'Three Statement Model'!$A$116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Model'!$D$116:$M$116</c:f>
              <c:numCache>
                <c:formatCode>_-* #,##0_-;\(#,##0\)_-;_-* "-"_-;_-@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8-47A9-A19A-FCBBB5D3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117</xdr:row>
      <xdr:rowOff>165099</xdr:rowOff>
    </xdr:from>
    <xdr:ext cx="4371975" cy="2628900"/>
    <xdr:graphicFrame macro="">
      <xdr:nvGraphicFramePr>
        <xdr:cNvPr id="1284321847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552450</xdr:colOff>
      <xdr:row>117</xdr:row>
      <xdr:rowOff>190500</xdr:rowOff>
    </xdr:from>
    <xdr:ext cx="5486400" cy="2628900"/>
    <xdr:graphicFrame macro="">
      <xdr:nvGraphicFramePr>
        <xdr:cNvPr id="1536027679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0</xdr:col>
      <xdr:colOff>142875</xdr:colOff>
      <xdr:row>0</xdr:row>
      <xdr:rowOff>85725</xdr:rowOff>
    </xdr:from>
    <xdr:to>
      <xdr:col>1</xdr:col>
      <xdr:colOff>449037</xdr:colOff>
      <xdr:row>1</xdr:row>
      <xdr:rowOff>239842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9860CA-BF39-42DD-B721-436EB9AE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1163412" cy="3541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tabSelected="1" zoomScale="70" zoomScaleNormal="70" workbookViewId="0">
      <pane ySplit="3" topLeftCell="A74" activePane="bottomLeft" state="frozen"/>
      <selection pane="bottomLeft" activeCell="B28" sqref="B28"/>
    </sheetView>
  </sheetViews>
  <sheetFormatPr defaultColWidth="14.36328125" defaultRowHeight="15" customHeight="1" outlineLevelRow="1" x14ac:dyDescent="0.35"/>
  <cols>
    <col min="1" max="1" width="12.90625" customWidth="1"/>
    <col min="2" max="2" width="12.36328125" customWidth="1"/>
    <col min="3" max="3" width="11.08984375" customWidth="1"/>
    <col min="4" max="13" width="11.54296875" customWidth="1"/>
    <col min="14" max="26" width="9.08984375" customWidth="1"/>
  </cols>
  <sheetData>
    <row r="1" spans="1:26" ht="15.5" x14ac:dyDescent="0.35">
      <c r="A1" s="34"/>
      <c r="B1" s="35"/>
      <c r="C1" s="36"/>
      <c r="D1" s="46" t="s">
        <v>0</v>
      </c>
      <c r="E1" s="47"/>
      <c r="F1" s="47"/>
      <c r="G1" s="47"/>
      <c r="H1" s="48"/>
      <c r="I1" s="49" t="s">
        <v>1</v>
      </c>
      <c r="J1" s="50"/>
      <c r="K1" s="50"/>
      <c r="L1" s="50"/>
      <c r="M1" s="5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4">
      <c r="A2" s="37"/>
      <c r="B2" s="38"/>
      <c r="C2" s="39"/>
      <c r="D2" s="41">
        <v>2020</v>
      </c>
      <c r="E2" s="41">
        <f t="shared" ref="E2:M2" si="0">+D2+1</f>
        <v>2021</v>
      </c>
      <c r="F2" s="41">
        <f t="shared" si="0"/>
        <v>2022</v>
      </c>
      <c r="G2" s="41">
        <f t="shared" si="0"/>
        <v>2023</v>
      </c>
      <c r="H2" s="41">
        <f t="shared" si="0"/>
        <v>2024</v>
      </c>
      <c r="I2" s="40">
        <f t="shared" si="0"/>
        <v>2025</v>
      </c>
      <c r="J2" s="40">
        <f t="shared" si="0"/>
        <v>2026</v>
      </c>
      <c r="K2" s="40">
        <f t="shared" si="0"/>
        <v>2027</v>
      </c>
      <c r="L2" s="40">
        <f t="shared" si="0"/>
        <v>2028</v>
      </c>
      <c r="M2" s="40">
        <f t="shared" si="0"/>
        <v>2029</v>
      </c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5" x14ac:dyDescent="0.35">
      <c r="A3" s="43" t="s">
        <v>2</v>
      </c>
      <c r="B3" s="43"/>
      <c r="C3" s="44"/>
      <c r="D3" s="45" t="str">
        <f t="shared" ref="D3:M3" si="1">IFERROR(IF(ABS(D60)&gt;1,"ERROR","OK"),"OK")</f>
        <v>OK</v>
      </c>
      <c r="E3" s="45" t="str">
        <f t="shared" si="1"/>
        <v>OK</v>
      </c>
      <c r="F3" s="45" t="str">
        <f t="shared" si="1"/>
        <v>OK</v>
      </c>
      <c r="G3" s="45" t="str">
        <f t="shared" si="1"/>
        <v>OK</v>
      </c>
      <c r="H3" s="45" t="str">
        <f t="shared" si="1"/>
        <v>OK</v>
      </c>
      <c r="I3" s="45" t="str">
        <f t="shared" si="1"/>
        <v>OK</v>
      </c>
      <c r="J3" s="45" t="str">
        <f t="shared" si="1"/>
        <v>OK</v>
      </c>
      <c r="K3" s="45" t="str">
        <f t="shared" si="1"/>
        <v>OK</v>
      </c>
      <c r="L3" s="45" t="str">
        <f t="shared" si="1"/>
        <v>OK</v>
      </c>
      <c r="M3" s="45" t="str">
        <f t="shared" si="1"/>
        <v>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5" x14ac:dyDescent="0.35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5" x14ac:dyDescent="0.35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5" outlineLevel="1" x14ac:dyDescent="0.35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5" outlineLevel="1" x14ac:dyDescent="0.35">
      <c r="A7" s="5" t="s">
        <v>78</v>
      </c>
      <c r="B7" s="1"/>
      <c r="C7" s="3"/>
      <c r="D7" s="1"/>
      <c r="E7" s="1"/>
      <c r="F7" s="1"/>
      <c r="G7" s="1"/>
      <c r="H7" s="1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outlineLevel="1" x14ac:dyDescent="0.35">
      <c r="A8" s="6" t="s">
        <v>4</v>
      </c>
      <c r="B8" s="7"/>
      <c r="C8" s="8"/>
      <c r="D8" s="9"/>
      <c r="E8" s="9">
        <f t="shared" ref="E8:H8" si="2">E26/D26-1</f>
        <v>0.15762643740135474</v>
      </c>
      <c r="F8" s="9">
        <f t="shared" si="2"/>
        <v>0.1122825737174602</v>
      </c>
      <c r="G8" s="9">
        <f t="shared" si="2"/>
        <v>8.3718451406600947E-2</v>
      </c>
      <c r="H8" s="9">
        <f t="shared" si="2"/>
        <v>5.9231001608812672E-2</v>
      </c>
      <c r="I8" s="10">
        <v>0.1</v>
      </c>
      <c r="J8" s="10">
        <v>0.1</v>
      </c>
      <c r="K8" s="10">
        <v>0.1</v>
      </c>
      <c r="L8" s="10">
        <v>0.1</v>
      </c>
      <c r="M8" s="10">
        <v>0.1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outlineLevel="1" x14ac:dyDescent="0.35">
      <c r="A9" s="1" t="s">
        <v>5</v>
      </c>
      <c r="B9" s="1"/>
      <c r="C9" s="3"/>
      <c r="D9" s="11">
        <f t="shared" ref="D9:H9" si="3">D27/D26</f>
        <v>0.38255217779172018</v>
      </c>
      <c r="E9" s="11">
        <f t="shared" si="3"/>
        <v>0.40651728401334619</v>
      </c>
      <c r="F9" s="11">
        <f t="shared" si="3"/>
        <v>0.37399977159389397</v>
      </c>
      <c r="G9" s="11">
        <f t="shared" si="3"/>
        <v>0.369914501092447</v>
      </c>
      <c r="H9" s="11">
        <f t="shared" si="3"/>
        <v>0.37613084657628737</v>
      </c>
      <c r="I9" s="12">
        <v>0.42</v>
      </c>
      <c r="J9" s="12">
        <v>0.47</v>
      </c>
      <c r="K9" s="12">
        <v>0.5</v>
      </c>
      <c r="L9" s="12">
        <v>0.36</v>
      </c>
      <c r="M9" s="12">
        <v>0.35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 outlineLevel="1" x14ac:dyDescent="0.35">
      <c r="A10" s="1" t="s">
        <v>6</v>
      </c>
      <c r="B10" s="1"/>
      <c r="C10" s="3"/>
      <c r="D10" s="11">
        <f t="shared" ref="D10:H10" si="4">D30/D26</f>
        <v>0.25907045594910155</v>
      </c>
      <c r="E10" s="11">
        <f t="shared" si="4"/>
        <v>0.19187710651559034</v>
      </c>
      <c r="F10" s="11">
        <f t="shared" si="4"/>
        <v>0.18175035212608018</v>
      </c>
      <c r="G10" s="11">
        <f t="shared" si="4"/>
        <v>0.16159785304304453</v>
      </c>
      <c r="H10" s="11">
        <f t="shared" si="4"/>
        <v>0.16743825113416283</v>
      </c>
      <c r="I10" s="12">
        <v>0.17</v>
      </c>
      <c r="J10" s="12">
        <v>0.17</v>
      </c>
      <c r="K10" s="12">
        <v>0.17</v>
      </c>
      <c r="L10" s="12">
        <v>0.17</v>
      </c>
      <c r="M10" s="12">
        <v>0.17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outlineLevel="1" x14ac:dyDescent="0.35">
      <c r="A11" s="1" t="s">
        <v>7</v>
      </c>
      <c r="B11" s="1"/>
      <c r="C11" s="3"/>
      <c r="D11" s="1">
        <f t="shared" ref="D11:H11" si="5">D31</f>
        <v>10963</v>
      </c>
      <c r="E11" s="1">
        <f t="shared" si="5"/>
        <v>10125</v>
      </c>
      <c r="F11" s="1">
        <f t="shared" si="5"/>
        <v>10087</v>
      </c>
      <c r="G11" s="1">
        <f t="shared" si="5"/>
        <v>11020</v>
      </c>
      <c r="H11" s="1">
        <f t="shared" si="5"/>
        <v>11412</v>
      </c>
      <c r="I11" s="4">
        <v>15000</v>
      </c>
      <c r="J11" s="4">
        <v>15000</v>
      </c>
      <c r="K11" s="4">
        <v>15000</v>
      </c>
      <c r="L11" s="4">
        <v>15000</v>
      </c>
      <c r="M11" s="4">
        <v>15000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outlineLevel="1" x14ac:dyDescent="0.35">
      <c r="A12" s="1" t="s">
        <v>8</v>
      </c>
      <c r="B12" s="1"/>
      <c r="C12" s="3"/>
      <c r="D12" s="11">
        <f t="shared" ref="D12:H12" si="6">D32/D47</f>
        <v>0.42857142857142849</v>
      </c>
      <c r="E12" s="11">
        <f t="shared" si="6"/>
        <v>0.42857142857142849</v>
      </c>
      <c r="F12" s="11">
        <f t="shared" si="6"/>
        <v>0.42857142857142849</v>
      </c>
      <c r="G12" s="11">
        <f t="shared" si="6"/>
        <v>0.42858993290329256</v>
      </c>
      <c r="H12" s="11">
        <f t="shared" si="6"/>
        <v>0.42856000639641795</v>
      </c>
      <c r="I12" s="12">
        <v>0.35</v>
      </c>
      <c r="J12" s="12">
        <v>0.35</v>
      </c>
      <c r="K12" s="12">
        <v>0.35</v>
      </c>
      <c r="L12" s="12">
        <v>0.35</v>
      </c>
      <c r="M12" s="12">
        <v>0.35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 outlineLevel="1" x14ac:dyDescent="0.35">
      <c r="A13" s="1" t="s">
        <v>9</v>
      </c>
      <c r="B13" s="1"/>
      <c r="C13" s="3"/>
      <c r="D13" s="11">
        <f t="shared" ref="D13:H13" si="7">D33/D52</f>
        <v>0.05</v>
      </c>
      <c r="E13" s="11">
        <f t="shared" si="7"/>
        <v>0.05</v>
      </c>
      <c r="F13" s="11">
        <f t="shared" si="7"/>
        <v>0.05</v>
      </c>
      <c r="G13" s="11">
        <f t="shared" si="7"/>
        <v>0.05</v>
      </c>
      <c r="H13" s="11">
        <f t="shared" si="7"/>
        <v>0.05</v>
      </c>
      <c r="I13" s="12">
        <v>0.1</v>
      </c>
      <c r="J13" s="12">
        <v>0.1</v>
      </c>
      <c r="K13" s="12">
        <v>0.1</v>
      </c>
      <c r="L13" s="12">
        <v>0.1</v>
      </c>
      <c r="M13" s="12">
        <v>0.1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outlineLevel="1" x14ac:dyDescent="0.35">
      <c r="A14" s="1" t="s">
        <v>10</v>
      </c>
      <c r="B14" s="13"/>
      <c r="C14" s="14"/>
      <c r="D14" s="11">
        <f t="shared" ref="D14:H14" si="8">D37/D35</f>
        <v>0.31163049526989428</v>
      </c>
      <c r="E14" s="11">
        <f t="shared" si="8"/>
        <v>0.29178929665445374</v>
      </c>
      <c r="F14" s="11">
        <f t="shared" si="8"/>
        <v>0.28699506055890112</v>
      </c>
      <c r="G14" s="11">
        <f t="shared" si="8"/>
        <v>0.28994444592116103</v>
      </c>
      <c r="H14" s="11">
        <f t="shared" si="8"/>
        <v>0.2912241054613936</v>
      </c>
      <c r="I14" s="12">
        <v>0.28000000000000003</v>
      </c>
      <c r="J14" s="12">
        <v>0.28000000000000003</v>
      </c>
      <c r="K14" s="12">
        <v>0.28000000000000003</v>
      </c>
      <c r="L14" s="12">
        <v>0.28000000000000003</v>
      </c>
      <c r="M14" s="12">
        <v>0.28000000000000003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outlineLevel="1" x14ac:dyDescent="0.35">
      <c r="A15" s="1" t="s">
        <v>11</v>
      </c>
      <c r="B15" s="1"/>
      <c r="C15" s="15"/>
      <c r="D15" s="1">
        <f t="shared" ref="D15:H15" si="9">D45/D26*365</f>
        <v>18.248747634966229</v>
      </c>
      <c r="E15" s="1">
        <f t="shared" si="9"/>
        <v>18.249072709720032</v>
      </c>
      <c r="F15" s="1">
        <f t="shared" si="9"/>
        <v>18.249305264760743</v>
      </c>
      <c r="G15" s="1">
        <f t="shared" si="9"/>
        <v>18.249871786765585</v>
      </c>
      <c r="H15" s="1">
        <f t="shared" si="9"/>
        <v>18.248547475658611</v>
      </c>
      <c r="I15" s="4">
        <v>18</v>
      </c>
      <c r="J15" s="4">
        <v>18</v>
      </c>
      <c r="K15" s="4">
        <v>18</v>
      </c>
      <c r="L15" s="4">
        <v>18</v>
      </c>
      <c r="M15" s="4">
        <v>18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5" outlineLevel="1" x14ac:dyDescent="0.35">
      <c r="A16" s="1" t="s">
        <v>12</v>
      </c>
      <c r="B16" s="1"/>
      <c r="C16" s="15"/>
      <c r="D16" s="1">
        <f t="shared" ref="D16:H16" si="10">D46/D27*365</f>
        <v>73.00374138328678</v>
      </c>
      <c r="E16" s="1">
        <f t="shared" si="10"/>
        <v>73.001520706607778</v>
      </c>
      <c r="F16" s="1">
        <f t="shared" si="10"/>
        <v>73.002972131180911</v>
      </c>
      <c r="G16" s="1">
        <f t="shared" si="10"/>
        <v>73.001386409389596</v>
      </c>
      <c r="H16" s="1">
        <f t="shared" si="10"/>
        <v>73</v>
      </c>
      <c r="I16" s="4">
        <v>80</v>
      </c>
      <c r="J16" s="4">
        <v>90</v>
      </c>
      <c r="K16" s="4">
        <v>100</v>
      </c>
      <c r="L16" s="4">
        <v>100</v>
      </c>
      <c r="M16" s="4">
        <v>100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outlineLevel="1" x14ac:dyDescent="0.35">
      <c r="A17" s="1" t="s">
        <v>13</v>
      </c>
      <c r="B17" s="1"/>
      <c r="C17" s="15"/>
      <c r="D17" s="1">
        <f t="shared" ref="D17:H17" si="11">D51/D27*365</f>
        <v>36.497193962534915</v>
      </c>
      <c r="E17" s="1">
        <f t="shared" si="11"/>
        <v>36.496958586784437</v>
      </c>
      <c r="F17" s="1">
        <f t="shared" si="11"/>
        <v>36.497770901614317</v>
      </c>
      <c r="G17" s="1">
        <f t="shared" si="11"/>
        <v>36.504159228168795</v>
      </c>
      <c r="H17" s="1">
        <f t="shared" si="11"/>
        <v>36.493563745371191</v>
      </c>
      <c r="I17" s="4">
        <v>37</v>
      </c>
      <c r="J17" s="4">
        <v>37</v>
      </c>
      <c r="K17" s="4">
        <v>37</v>
      </c>
      <c r="L17" s="4">
        <v>37</v>
      </c>
      <c r="M17" s="4">
        <v>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 outlineLevel="1" x14ac:dyDescent="0.35">
      <c r="A18" s="1" t="s">
        <v>14</v>
      </c>
      <c r="B18" s="1"/>
      <c r="C18" s="3"/>
      <c r="D18" s="1">
        <f t="shared" ref="D18:H18" si="12">D72</f>
        <v>15000</v>
      </c>
      <c r="E18" s="1">
        <f t="shared" si="12"/>
        <v>15000</v>
      </c>
      <c r="F18" s="1">
        <f t="shared" si="12"/>
        <v>15000</v>
      </c>
      <c r="G18" s="1">
        <f t="shared" si="12"/>
        <v>15000</v>
      </c>
      <c r="H18" s="1">
        <f t="shared" si="12"/>
        <v>15000</v>
      </c>
      <c r="I18" s="4">
        <v>15000</v>
      </c>
      <c r="J18" s="4">
        <v>15000</v>
      </c>
      <c r="K18" s="4">
        <v>15000</v>
      </c>
      <c r="L18" s="4">
        <v>15000</v>
      </c>
      <c r="M18" s="4">
        <v>15000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 outlineLevel="1" x14ac:dyDescent="0.35">
      <c r="A19" s="1" t="s">
        <v>15</v>
      </c>
      <c r="B19" s="1"/>
      <c r="C19" s="3"/>
      <c r="D19" s="1">
        <f t="shared" ref="D19:H19" si="13">D76</f>
        <v>0</v>
      </c>
      <c r="E19" s="1">
        <f t="shared" si="13"/>
        <v>0</v>
      </c>
      <c r="F19" s="1">
        <f t="shared" si="13"/>
        <v>-20000</v>
      </c>
      <c r="G19" s="1">
        <f t="shared" si="13"/>
        <v>0</v>
      </c>
      <c r="H19" s="1">
        <f t="shared" si="13"/>
        <v>0</v>
      </c>
      <c r="I19" s="4">
        <v>0</v>
      </c>
      <c r="J19" s="4">
        <v>0</v>
      </c>
      <c r="K19" s="4">
        <v>-20000</v>
      </c>
      <c r="L19" s="4">
        <v>0</v>
      </c>
      <c r="M19" s="4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 outlineLevel="1" x14ac:dyDescent="0.35">
      <c r="A20" s="1" t="s">
        <v>16</v>
      </c>
      <c r="B20" s="1"/>
      <c r="C20" s="3"/>
      <c r="D20" s="1">
        <f t="shared" ref="D20:H20" si="14">D77</f>
        <v>70000</v>
      </c>
      <c r="E20" s="1">
        <f t="shared" si="14"/>
        <v>0</v>
      </c>
      <c r="F20" s="1">
        <f t="shared" si="14"/>
        <v>0</v>
      </c>
      <c r="G20" s="1">
        <f t="shared" si="14"/>
        <v>0</v>
      </c>
      <c r="H20" s="1">
        <f t="shared" si="14"/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5" outlineLevel="1" x14ac:dyDescent="0.35">
      <c r="A21" s="42" t="s">
        <v>77</v>
      </c>
      <c r="B21" s="1"/>
      <c r="C21" s="3"/>
      <c r="D21" s="4">
        <v>365</v>
      </c>
      <c r="E21" s="4">
        <v>365</v>
      </c>
      <c r="F21" s="4">
        <v>365</v>
      </c>
      <c r="G21" s="4">
        <v>365</v>
      </c>
      <c r="H21" s="4">
        <v>365</v>
      </c>
      <c r="I21" s="4">
        <v>365</v>
      </c>
      <c r="J21" s="4">
        <v>365</v>
      </c>
      <c r="K21" s="4">
        <v>365</v>
      </c>
      <c r="L21" s="4">
        <v>365</v>
      </c>
      <c r="M21" s="4"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5" outlineLevel="1" x14ac:dyDescent="0.35">
      <c r="A22" s="1"/>
      <c r="B22" s="1"/>
      <c r="C22" s="3"/>
      <c r="D22" s="1"/>
      <c r="E22" s="1"/>
      <c r="F22" s="1"/>
      <c r="G22" s="1"/>
      <c r="H22" s="1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35">
      <c r="A23" s="1"/>
      <c r="B23" s="1"/>
      <c r="C23" s="3"/>
      <c r="D23" s="1"/>
      <c r="E23" s="1"/>
      <c r="F23" s="1"/>
      <c r="G23" s="1"/>
      <c r="H23" s="1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5" x14ac:dyDescent="0.35">
      <c r="A24" s="33" t="s">
        <v>17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outlineLevel="1" x14ac:dyDescent="0.35">
      <c r="A25" s="5"/>
      <c r="B25" s="5"/>
      <c r="C25" s="16"/>
      <c r="D25" s="17"/>
      <c r="E25" s="17"/>
      <c r="F25" s="17"/>
      <c r="G25" s="17"/>
      <c r="H25" s="17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outlineLevel="1" x14ac:dyDescent="0.35">
      <c r="A26" s="5" t="s">
        <v>18</v>
      </c>
      <c r="B26" s="5"/>
      <c r="C26" s="16"/>
      <c r="D26" s="17">
        <v>102007</v>
      </c>
      <c r="E26" s="17">
        <v>118086</v>
      </c>
      <c r="F26" s="17">
        <v>131345</v>
      </c>
      <c r="G26" s="17">
        <v>142341</v>
      </c>
      <c r="H26" s="17">
        <v>150772</v>
      </c>
      <c r="I26" s="5">
        <f t="shared" ref="I26:M26" si="15">H26*(1+I8)</f>
        <v>165849.20000000001</v>
      </c>
      <c r="J26" s="5">
        <f t="shared" si="15"/>
        <v>182434.12000000002</v>
      </c>
      <c r="K26" s="5">
        <f t="shared" si="15"/>
        <v>200677.53200000004</v>
      </c>
      <c r="L26" s="5">
        <f t="shared" si="15"/>
        <v>220745.28520000007</v>
      </c>
      <c r="M26" s="5">
        <f t="shared" si="15"/>
        <v>242819.81372000009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outlineLevel="1" x14ac:dyDescent="0.35">
      <c r="A27" s="1" t="s">
        <v>19</v>
      </c>
      <c r="B27" s="1"/>
      <c r="C27" s="3"/>
      <c r="D27" s="4">
        <v>39023</v>
      </c>
      <c r="E27" s="4">
        <v>48004</v>
      </c>
      <c r="F27" s="4">
        <v>49123</v>
      </c>
      <c r="G27" s="4">
        <v>52654</v>
      </c>
      <c r="H27" s="4">
        <v>56710</v>
      </c>
      <c r="I27" s="18">
        <f t="shared" ref="I27:M27" si="16">I26*I9</f>
        <v>69656.664000000004</v>
      </c>
      <c r="J27" s="18">
        <f t="shared" si="16"/>
        <v>85744.036400000012</v>
      </c>
      <c r="K27" s="18">
        <f t="shared" si="16"/>
        <v>100338.76600000002</v>
      </c>
      <c r="L27" s="18">
        <f t="shared" si="16"/>
        <v>79468.30267200002</v>
      </c>
      <c r="M27" s="18">
        <f t="shared" si="16"/>
        <v>84986.934802000033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outlineLevel="1" x14ac:dyDescent="0.35">
      <c r="A28" s="7" t="s">
        <v>20</v>
      </c>
      <c r="B28" s="7"/>
      <c r="C28" s="8"/>
      <c r="D28" s="7">
        <f t="shared" ref="D28:M28" si="17">D26-D27</f>
        <v>62984</v>
      </c>
      <c r="E28" s="7">
        <f t="shared" si="17"/>
        <v>70082</v>
      </c>
      <c r="F28" s="7">
        <f t="shared" si="17"/>
        <v>82222</v>
      </c>
      <c r="G28" s="7">
        <f t="shared" si="17"/>
        <v>89687</v>
      </c>
      <c r="H28" s="7">
        <f t="shared" si="17"/>
        <v>94062</v>
      </c>
      <c r="I28" s="7">
        <f t="shared" si="17"/>
        <v>96192.536000000007</v>
      </c>
      <c r="J28" s="7">
        <f t="shared" si="17"/>
        <v>96690.083600000013</v>
      </c>
      <c r="K28" s="7">
        <f t="shared" si="17"/>
        <v>100338.76600000002</v>
      </c>
      <c r="L28" s="7">
        <f t="shared" si="17"/>
        <v>141276.98252800005</v>
      </c>
      <c r="M28" s="7">
        <f t="shared" si="17"/>
        <v>157832.87891800006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outlineLevel="1" x14ac:dyDescent="0.35">
      <c r="A29" s="5" t="s">
        <v>21</v>
      </c>
      <c r="B29" s="5"/>
      <c r="C29" s="16"/>
      <c r="D29" s="19"/>
      <c r="E29" s="19"/>
      <c r="F29" s="19"/>
      <c r="G29" s="19"/>
      <c r="H29" s="19"/>
      <c r="I29" s="19"/>
      <c r="J29" s="19"/>
      <c r="K29" s="19"/>
      <c r="L29" s="5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outlineLevel="1" x14ac:dyDescent="0.35">
      <c r="A30" s="1" t="s">
        <v>22</v>
      </c>
      <c r="B30" s="1"/>
      <c r="C30" s="3"/>
      <c r="D30" s="4">
        <v>26427</v>
      </c>
      <c r="E30" s="4">
        <v>22658</v>
      </c>
      <c r="F30" s="4">
        <v>23872</v>
      </c>
      <c r="G30" s="4">
        <v>23002</v>
      </c>
      <c r="H30" s="4">
        <v>25245</v>
      </c>
      <c r="I30" s="1">
        <f t="shared" ref="I30:M30" si="18">I10*I26</f>
        <v>28194.364000000005</v>
      </c>
      <c r="J30" s="1">
        <f t="shared" si="18"/>
        <v>31013.800400000007</v>
      </c>
      <c r="K30" s="1">
        <f t="shared" si="18"/>
        <v>34115.180440000011</v>
      </c>
      <c r="L30" s="1">
        <f t="shared" si="18"/>
        <v>37526.698484000015</v>
      </c>
      <c r="M30" s="1">
        <f t="shared" si="18"/>
        <v>41279.368332400016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outlineLevel="1" x14ac:dyDescent="0.35">
      <c r="A31" s="1" t="s">
        <v>23</v>
      </c>
      <c r="B31" s="1"/>
      <c r="C31" s="3"/>
      <c r="D31" s="4">
        <v>10963</v>
      </c>
      <c r="E31" s="4">
        <v>10125</v>
      </c>
      <c r="F31" s="4">
        <v>10087</v>
      </c>
      <c r="G31" s="4">
        <v>11020</v>
      </c>
      <c r="H31" s="4">
        <v>11412</v>
      </c>
      <c r="I31" s="1">
        <f t="shared" ref="I31:M31" si="19">I11</f>
        <v>15000</v>
      </c>
      <c r="J31" s="1">
        <f t="shared" si="19"/>
        <v>15000</v>
      </c>
      <c r="K31" s="1">
        <f t="shared" si="19"/>
        <v>15000</v>
      </c>
      <c r="L31" s="1">
        <f t="shared" si="19"/>
        <v>15000</v>
      </c>
      <c r="M31" s="1">
        <f t="shared" si="19"/>
        <v>15000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outlineLevel="1" x14ac:dyDescent="0.35">
      <c r="A32" s="1" t="s">
        <v>24</v>
      </c>
      <c r="B32" s="1"/>
      <c r="C32" s="3"/>
      <c r="D32" s="4">
        <v>19500</v>
      </c>
      <c r="E32" s="4">
        <v>18150</v>
      </c>
      <c r="F32" s="4">
        <v>17205</v>
      </c>
      <c r="G32" s="4">
        <v>16544</v>
      </c>
      <c r="H32" s="4">
        <v>16080</v>
      </c>
      <c r="I32" s="1">
        <f t="shared" ref="I32:M32" si="20">I67</f>
        <v>13132.350000000002</v>
      </c>
      <c r="J32" s="1">
        <f t="shared" si="20"/>
        <v>13786.027500000002</v>
      </c>
      <c r="K32" s="1">
        <f t="shared" si="20"/>
        <v>14210.917875000001</v>
      </c>
      <c r="L32" s="1">
        <f t="shared" si="20"/>
        <v>14487.096618750002</v>
      </c>
      <c r="M32" s="1">
        <f t="shared" si="20"/>
        <v>14666.612802187501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outlineLevel="1" x14ac:dyDescent="0.35">
      <c r="A33" s="20" t="s">
        <v>25</v>
      </c>
      <c r="B33" s="20"/>
      <c r="C33" s="21"/>
      <c r="D33" s="22">
        <v>2500</v>
      </c>
      <c r="E33" s="22">
        <v>2500</v>
      </c>
      <c r="F33" s="22">
        <v>1500</v>
      </c>
      <c r="G33" s="22">
        <v>1500</v>
      </c>
      <c r="H33" s="22">
        <v>1500</v>
      </c>
      <c r="I33" s="20">
        <f t="shared" ref="I33:M33" si="21">I105</f>
        <v>3000.0000000000009</v>
      </c>
      <c r="J33" s="20">
        <f t="shared" si="21"/>
        <v>3000.0000000000009</v>
      </c>
      <c r="K33" s="20">
        <f t="shared" si="21"/>
        <v>2000.0000000000009</v>
      </c>
      <c r="L33" s="20">
        <f t="shared" si="21"/>
        <v>1000.0000000000008</v>
      </c>
      <c r="M33" s="20">
        <f t="shared" si="21"/>
        <v>1000.0000000000008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outlineLevel="1" x14ac:dyDescent="0.35">
      <c r="A34" s="5" t="s">
        <v>26</v>
      </c>
      <c r="B34" s="1"/>
      <c r="C34" s="3"/>
      <c r="D34" s="5">
        <f t="shared" ref="D34:M34" si="22">SUM(D30:D33)</f>
        <v>59390</v>
      </c>
      <c r="E34" s="5">
        <f t="shared" si="22"/>
        <v>53433</v>
      </c>
      <c r="F34" s="5">
        <f t="shared" si="22"/>
        <v>52664</v>
      </c>
      <c r="G34" s="5">
        <f t="shared" si="22"/>
        <v>52066</v>
      </c>
      <c r="H34" s="5">
        <f t="shared" si="22"/>
        <v>54237</v>
      </c>
      <c r="I34" s="5">
        <f t="shared" si="22"/>
        <v>59326.714000000007</v>
      </c>
      <c r="J34" s="5">
        <f t="shared" si="22"/>
        <v>62799.827900000011</v>
      </c>
      <c r="K34" s="5">
        <f t="shared" si="22"/>
        <v>65326.09831500001</v>
      </c>
      <c r="L34" s="5">
        <f t="shared" si="22"/>
        <v>68013.795102750009</v>
      </c>
      <c r="M34" s="5">
        <f t="shared" si="22"/>
        <v>71945.981134587521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outlineLevel="1" x14ac:dyDescent="0.35">
      <c r="A35" s="7" t="s">
        <v>27</v>
      </c>
      <c r="B35" s="7"/>
      <c r="C35" s="8"/>
      <c r="D35" s="7">
        <f t="shared" ref="D35:M35" si="23">D28-D34</f>
        <v>3594</v>
      </c>
      <c r="E35" s="7">
        <f t="shared" si="23"/>
        <v>16649</v>
      </c>
      <c r="F35" s="7">
        <f t="shared" si="23"/>
        <v>29558</v>
      </c>
      <c r="G35" s="7">
        <f t="shared" si="23"/>
        <v>37621</v>
      </c>
      <c r="H35" s="7">
        <f t="shared" si="23"/>
        <v>39825</v>
      </c>
      <c r="I35" s="7">
        <f t="shared" si="23"/>
        <v>36865.822</v>
      </c>
      <c r="J35" s="7">
        <f t="shared" si="23"/>
        <v>33890.255700000002</v>
      </c>
      <c r="K35" s="7">
        <f t="shared" si="23"/>
        <v>35012.667685000008</v>
      </c>
      <c r="L35" s="7">
        <f t="shared" si="23"/>
        <v>73263.187425250042</v>
      </c>
      <c r="M35" s="7">
        <f t="shared" si="23"/>
        <v>85886.89778341254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outlineLevel="1" x14ac:dyDescent="0.35">
      <c r="A36" s="5"/>
      <c r="B36" s="5"/>
      <c r="C36" s="16"/>
      <c r="D36" s="17"/>
      <c r="E36" s="17"/>
      <c r="F36" s="17"/>
      <c r="G36" s="17"/>
      <c r="H36" s="17"/>
      <c r="I36" s="5"/>
      <c r="J36" s="5"/>
      <c r="K36" s="5"/>
      <c r="L36" s="5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outlineLevel="1" x14ac:dyDescent="0.35">
      <c r="A37" s="1" t="s">
        <v>28</v>
      </c>
      <c r="B37" s="1"/>
      <c r="C37" s="3"/>
      <c r="D37" s="4">
        <v>1120</v>
      </c>
      <c r="E37" s="4">
        <v>4858</v>
      </c>
      <c r="F37" s="4">
        <v>8483</v>
      </c>
      <c r="G37" s="4">
        <v>10908</v>
      </c>
      <c r="H37" s="4">
        <v>11598</v>
      </c>
      <c r="I37" s="18">
        <f t="shared" ref="I37:M37" si="24">I35*I14</f>
        <v>10322.430160000002</v>
      </c>
      <c r="J37" s="18">
        <f t="shared" si="24"/>
        <v>9489.2715960000005</v>
      </c>
      <c r="K37" s="18">
        <f t="shared" si="24"/>
        <v>9803.5469518000027</v>
      </c>
      <c r="L37" s="18">
        <f t="shared" si="24"/>
        <v>20513.692479070014</v>
      </c>
      <c r="M37" s="18">
        <f t="shared" si="24"/>
        <v>24048.331379355513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outlineLevel="1" x14ac:dyDescent="0.35">
      <c r="A38" s="23" t="s">
        <v>29</v>
      </c>
      <c r="B38" s="23"/>
      <c r="C38" s="24"/>
      <c r="D38" s="23">
        <f t="shared" ref="D38:M38" si="25">D35-D37</f>
        <v>2474</v>
      </c>
      <c r="E38" s="23">
        <f t="shared" si="25"/>
        <v>11791</v>
      </c>
      <c r="F38" s="23">
        <f t="shared" si="25"/>
        <v>21075</v>
      </c>
      <c r="G38" s="23">
        <f t="shared" si="25"/>
        <v>26713</v>
      </c>
      <c r="H38" s="23">
        <f t="shared" si="25"/>
        <v>28227</v>
      </c>
      <c r="I38" s="23">
        <f t="shared" si="25"/>
        <v>26543.391839999997</v>
      </c>
      <c r="J38" s="23">
        <f t="shared" si="25"/>
        <v>24400.984104000003</v>
      </c>
      <c r="K38" s="23">
        <f t="shared" si="25"/>
        <v>25209.120733200005</v>
      </c>
      <c r="L38" s="23">
        <f t="shared" si="25"/>
        <v>52749.494946180028</v>
      </c>
      <c r="M38" s="23">
        <f t="shared" si="25"/>
        <v>61838.566404057026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outlineLevel="1" x14ac:dyDescent="0.35">
      <c r="A39" s="1"/>
      <c r="B39" s="1"/>
      <c r="C39" s="3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3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5" x14ac:dyDescent="0.35">
      <c r="A41" s="33" t="s">
        <v>30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outlineLevel="1" x14ac:dyDescent="0.35">
      <c r="A42" s="1"/>
      <c r="B42" s="1"/>
      <c r="C42" s="3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outlineLevel="1" x14ac:dyDescent="0.35">
      <c r="A43" s="5" t="s">
        <v>31</v>
      </c>
      <c r="B43" s="1"/>
      <c r="C43" s="3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outlineLevel="1" x14ac:dyDescent="0.35">
      <c r="A44" s="1" t="s">
        <v>32</v>
      </c>
      <c r="B44" s="1"/>
      <c r="C44" s="25"/>
      <c r="D44" s="4">
        <v>67971</v>
      </c>
      <c r="E44" s="4">
        <v>81210</v>
      </c>
      <c r="F44" s="4">
        <v>83715</v>
      </c>
      <c r="G44" s="4">
        <v>111070</v>
      </c>
      <c r="H44" s="4">
        <v>139549</v>
      </c>
      <c r="I44" s="1">
        <f t="shared" ref="I44:M44" si="26">I82</f>
        <v>161049.74964273971</v>
      </c>
      <c r="J44" s="1">
        <f t="shared" si="26"/>
        <v>179174.49840509589</v>
      </c>
      <c r="K44" s="1">
        <f t="shared" si="26"/>
        <v>177826.6199042548</v>
      </c>
      <c r="L44" s="1">
        <f t="shared" si="26"/>
        <v>232675.86799538758</v>
      </c>
      <c r="M44" s="1">
        <f t="shared" si="26"/>
        <v>292139.90929053619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outlineLevel="1" x14ac:dyDescent="0.35">
      <c r="A45" s="1" t="s">
        <v>33</v>
      </c>
      <c r="B45" s="1"/>
      <c r="C45" s="25"/>
      <c r="D45" s="4">
        <v>5100</v>
      </c>
      <c r="E45" s="4">
        <v>5904</v>
      </c>
      <c r="F45" s="4">
        <v>6567</v>
      </c>
      <c r="G45" s="4">
        <v>7117</v>
      </c>
      <c r="H45" s="4">
        <v>7538</v>
      </c>
      <c r="I45" s="26">
        <f>I26*I15/I21</f>
        <v>8178.8646575342473</v>
      </c>
      <c r="J45" s="26">
        <f t="shared" ref="J45:M45" si="27">J26*J15/J21</f>
        <v>8996.7511232876732</v>
      </c>
      <c r="K45" s="26">
        <f t="shared" si="27"/>
        <v>9896.42623561644</v>
      </c>
      <c r="L45" s="26">
        <f t="shared" si="27"/>
        <v>10886.068859178085</v>
      </c>
      <c r="M45" s="26">
        <f t="shared" si="27"/>
        <v>11974.675745095894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outlineLevel="1" x14ac:dyDescent="0.35">
      <c r="A46" s="1" t="s">
        <v>34</v>
      </c>
      <c r="B46" s="1"/>
      <c r="C46" s="25"/>
      <c r="D46" s="4">
        <v>7805</v>
      </c>
      <c r="E46" s="4">
        <v>9601</v>
      </c>
      <c r="F46" s="4">
        <v>9825</v>
      </c>
      <c r="G46" s="4">
        <v>10531</v>
      </c>
      <c r="H46" s="4">
        <v>11342</v>
      </c>
      <c r="I46" s="1">
        <f>I27*I16/I21</f>
        <v>15267.21402739726</v>
      </c>
      <c r="J46" s="1">
        <f t="shared" ref="J46:M46" si="28">J27*J16/J21</f>
        <v>21142.365139726033</v>
      </c>
      <c r="K46" s="1">
        <f t="shared" si="28"/>
        <v>27490.072876712333</v>
      </c>
      <c r="L46" s="1">
        <f t="shared" si="28"/>
        <v>21772.137718356171</v>
      </c>
      <c r="M46" s="1">
        <f t="shared" si="28"/>
        <v>23284.091726575352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outlineLevel="1" x14ac:dyDescent="0.35">
      <c r="A47" s="1" t="s">
        <v>35</v>
      </c>
      <c r="B47" s="1"/>
      <c r="C47" s="3"/>
      <c r="D47" s="4">
        <v>45500.000000000007</v>
      </c>
      <c r="E47" s="4">
        <v>42350.000000000007</v>
      </c>
      <c r="F47" s="4">
        <v>40145.000000000007</v>
      </c>
      <c r="G47" s="4">
        <v>38601.000000000007</v>
      </c>
      <c r="H47" s="4">
        <v>37521.000000000007</v>
      </c>
      <c r="I47" s="1">
        <f t="shared" ref="I47:M47" si="29">I99</f>
        <v>39388.650000000009</v>
      </c>
      <c r="J47" s="1">
        <f t="shared" si="29"/>
        <v>40602.622500000005</v>
      </c>
      <c r="K47" s="1">
        <f t="shared" si="29"/>
        <v>41391.704625000006</v>
      </c>
      <c r="L47" s="1">
        <f t="shared" si="29"/>
        <v>41904.608006250004</v>
      </c>
      <c r="M47" s="1">
        <f t="shared" si="29"/>
        <v>42237.995204062507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outlineLevel="1" x14ac:dyDescent="0.35">
      <c r="A48" s="23" t="s">
        <v>36</v>
      </c>
      <c r="B48" s="23"/>
      <c r="C48" s="24"/>
      <c r="D48" s="23">
        <f t="shared" ref="D48:M48" si="30">SUM(D44:D47)</f>
        <v>126376</v>
      </c>
      <c r="E48" s="23">
        <f t="shared" si="30"/>
        <v>139065</v>
      </c>
      <c r="F48" s="23">
        <f t="shared" si="30"/>
        <v>140252</v>
      </c>
      <c r="G48" s="23">
        <f t="shared" si="30"/>
        <v>167319</v>
      </c>
      <c r="H48" s="23">
        <f t="shared" si="30"/>
        <v>195950</v>
      </c>
      <c r="I48" s="23">
        <f t="shared" si="30"/>
        <v>223884.47832767124</v>
      </c>
      <c r="J48" s="23">
        <f t="shared" si="30"/>
        <v>249916.2371681096</v>
      </c>
      <c r="K48" s="23">
        <f t="shared" si="30"/>
        <v>256604.82364158359</v>
      </c>
      <c r="L48" s="23">
        <f t="shared" si="30"/>
        <v>307238.68257917184</v>
      </c>
      <c r="M48" s="23">
        <f t="shared" si="30"/>
        <v>369636.6719662699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outlineLevel="1" x14ac:dyDescent="0.35">
      <c r="A49" s="5"/>
      <c r="B49" s="5"/>
      <c r="C49" s="16"/>
      <c r="D49" s="17"/>
      <c r="E49" s="17"/>
      <c r="F49" s="17"/>
      <c r="G49" s="17"/>
      <c r="H49" s="17"/>
      <c r="I49" s="5"/>
      <c r="J49" s="5"/>
      <c r="K49" s="5"/>
      <c r="L49" s="5"/>
      <c r="M49" s="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outlineLevel="1" x14ac:dyDescent="0.35">
      <c r="A50" s="5" t="s">
        <v>37</v>
      </c>
      <c r="B50" s="1"/>
      <c r="C50" s="25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outlineLevel="1" x14ac:dyDescent="0.35">
      <c r="A51" s="1" t="s">
        <v>38</v>
      </c>
      <c r="B51" s="1"/>
      <c r="C51" s="25"/>
      <c r="D51" s="4">
        <v>3902</v>
      </c>
      <c r="E51" s="4">
        <v>4800</v>
      </c>
      <c r="F51" s="4">
        <v>4912</v>
      </c>
      <c r="G51" s="4">
        <v>5266</v>
      </c>
      <c r="H51" s="4">
        <v>5670</v>
      </c>
      <c r="I51" s="1">
        <f>I27*I17/I21</f>
        <v>7061.086487671233</v>
      </c>
      <c r="J51" s="1">
        <f t="shared" ref="J51:M51" si="31">J27*J17/J21</f>
        <v>8691.8612241095907</v>
      </c>
      <c r="K51" s="1">
        <f t="shared" si="31"/>
        <v>10171.326964383563</v>
      </c>
      <c r="L51" s="1">
        <f t="shared" si="31"/>
        <v>8055.6909557917834</v>
      </c>
      <c r="M51" s="1">
        <f t="shared" si="31"/>
        <v>8615.1139388328793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outlineLevel="1" x14ac:dyDescent="0.35">
      <c r="A52" s="1" t="s">
        <v>39</v>
      </c>
      <c r="B52" s="1"/>
      <c r="C52" s="3"/>
      <c r="D52" s="4">
        <v>50000</v>
      </c>
      <c r="E52" s="4">
        <v>50000</v>
      </c>
      <c r="F52" s="4">
        <v>30000</v>
      </c>
      <c r="G52" s="4">
        <v>30000</v>
      </c>
      <c r="H52" s="4">
        <v>30000</v>
      </c>
      <c r="I52" s="1">
        <f t="shared" ref="I52:M52" si="32">I104</f>
        <v>30000.000000000007</v>
      </c>
      <c r="J52" s="1">
        <f t="shared" si="32"/>
        <v>30000.000000000007</v>
      </c>
      <c r="K52" s="1">
        <f t="shared" si="32"/>
        <v>10000.000000000007</v>
      </c>
      <c r="L52" s="1">
        <f t="shared" si="32"/>
        <v>10000.000000000007</v>
      </c>
      <c r="M52" s="1">
        <f t="shared" si="32"/>
        <v>10000.000000000007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outlineLevel="1" x14ac:dyDescent="0.35">
      <c r="A53" s="7" t="s">
        <v>40</v>
      </c>
      <c r="B53" s="7"/>
      <c r="C53" s="8"/>
      <c r="D53" s="7">
        <f t="shared" ref="D53:M53" si="33">SUM(D51:D52)</f>
        <v>53902</v>
      </c>
      <c r="E53" s="7">
        <f t="shared" si="33"/>
        <v>54800</v>
      </c>
      <c r="F53" s="7">
        <f t="shared" si="33"/>
        <v>34912</v>
      </c>
      <c r="G53" s="7">
        <f t="shared" si="33"/>
        <v>35266</v>
      </c>
      <c r="H53" s="7">
        <f t="shared" si="33"/>
        <v>35670</v>
      </c>
      <c r="I53" s="7">
        <f t="shared" si="33"/>
        <v>37061.086487671244</v>
      </c>
      <c r="J53" s="7">
        <f t="shared" si="33"/>
        <v>38691.861224109598</v>
      </c>
      <c r="K53" s="7">
        <f t="shared" si="33"/>
        <v>20171.32696438357</v>
      </c>
      <c r="L53" s="7">
        <f t="shared" si="33"/>
        <v>18055.69095579179</v>
      </c>
      <c r="M53" s="7">
        <f t="shared" si="33"/>
        <v>18615.113938832888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outlineLevel="1" x14ac:dyDescent="0.35">
      <c r="A54" s="5" t="s">
        <v>41</v>
      </c>
      <c r="B54" s="1"/>
      <c r="C54" s="3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outlineLevel="1" x14ac:dyDescent="0.35">
      <c r="A55" s="1" t="s">
        <v>42</v>
      </c>
      <c r="B55" s="1"/>
      <c r="C55" s="3"/>
      <c r="D55" s="4">
        <v>70000</v>
      </c>
      <c r="E55" s="4">
        <v>70000</v>
      </c>
      <c r="F55" s="4">
        <v>70000</v>
      </c>
      <c r="G55" s="4">
        <v>70000</v>
      </c>
      <c r="H55" s="4">
        <v>70000</v>
      </c>
      <c r="I55" s="1">
        <f t="shared" ref="I55:M55" si="34">H55+I77</f>
        <v>70000</v>
      </c>
      <c r="J55" s="1">
        <f t="shared" si="34"/>
        <v>70000</v>
      </c>
      <c r="K55" s="1">
        <f t="shared" si="34"/>
        <v>70000</v>
      </c>
      <c r="L55" s="1">
        <f t="shared" si="34"/>
        <v>70000</v>
      </c>
      <c r="M55" s="1">
        <f t="shared" si="34"/>
        <v>70000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outlineLevel="1" x14ac:dyDescent="0.35">
      <c r="A56" s="1" t="s">
        <v>43</v>
      </c>
      <c r="B56" s="1"/>
      <c r="C56" s="3"/>
      <c r="D56" s="4">
        <v>2474</v>
      </c>
      <c r="E56" s="4">
        <v>14265</v>
      </c>
      <c r="F56" s="4">
        <v>35340</v>
      </c>
      <c r="G56" s="4">
        <v>62053</v>
      </c>
      <c r="H56" s="4">
        <v>90280</v>
      </c>
      <c r="I56" s="1">
        <f t="shared" ref="I56:M56" si="35">H56+I38</f>
        <v>116823.39184</v>
      </c>
      <c r="J56" s="1">
        <f t="shared" si="35"/>
        <v>141224.375944</v>
      </c>
      <c r="K56" s="1">
        <f t="shared" si="35"/>
        <v>166433.49667720002</v>
      </c>
      <c r="L56" s="1">
        <f t="shared" si="35"/>
        <v>219182.99162338005</v>
      </c>
      <c r="M56" s="1">
        <f t="shared" si="35"/>
        <v>281021.55802743707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outlineLevel="1" x14ac:dyDescent="0.35">
      <c r="A57" s="27" t="s">
        <v>41</v>
      </c>
      <c r="B57" s="27"/>
      <c r="C57" s="28"/>
      <c r="D57" s="27">
        <f t="shared" ref="D57:M57" si="36">SUM(D55:D56)</f>
        <v>72474</v>
      </c>
      <c r="E57" s="27">
        <f t="shared" si="36"/>
        <v>84265</v>
      </c>
      <c r="F57" s="27">
        <f t="shared" si="36"/>
        <v>105340</v>
      </c>
      <c r="G57" s="27">
        <f t="shared" si="36"/>
        <v>132053</v>
      </c>
      <c r="H57" s="27">
        <f t="shared" si="36"/>
        <v>160280</v>
      </c>
      <c r="I57" s="27">
        <f t="shared" si="36"/>
        <v>186823.39184</v>
      </c>
      <c r="J57" s="27">
        <f t="shared" si="36"/>
        <v>211224.375944</v>
      </c>
      <c r="K57" s="27">
        <f t="shared" si="36"/>
        <v>236433.49667720002</v>
      </c>
      <c r="L57" s="27">
        <f t="shared" si="36"/>
        <v>289182.99162338005</v>
      </c>
      <c r="M57" s="27">
        <f t="shared" si="36"/>
        <v>351021.55802743707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outlineLevel="1" x14ac:dyDescent="0.35">
      <c r="A58" s="23" t="s">
        <v>44</v>
      </c>
      <c r="B58" s="23"/>
      <c r="C58" s="24"/>
      <c r="D58" s="23">
        <f t="shared" ref="D58:M58" si="37">D53+D57</f>
        <v>126376</v>
      </c>
      <c r="E58" s="23">
        <f t="shared" si="37"/>
        <v>139065</v>
      </c>
      <c r="F58" s="23">
        <f t="shared" si="37"/>
        <v>140252</v>
      </c>
      <c r="G58" s="23">
        <f t="shared" si="37"/>
        <v>167319</v>
      </c>
      <c r="H58" s="23">
        <f t="shared" si="37"/>
        <v>195950</v>
      </c>
      <c r="I58" s="23">
        <f t="shared" si="37"/>
        <v>223884.47832767124</v>
      </c>
      <c r="J58" s="23">
        <f t="shared" si="37"/>
        <v>249916.2371681096</v>
      </c>
      <c r="K58" s="23">
        <f t="shared" si="37"/>
        <v>256604.82364158359</v>
      </c>
      <c r="L58" s="23">
        <f t="shared" si="37"/>
        <v>307238.68257917184</v>
      </c>
      <c r="M58" s="23">
        <f t="shared" si="37"/>
        <v>369636.67196626996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outlineLevel="1" x14ac:dyDescent="0.35">
      <c r="A59" s="1"/>
      <c r="B59" s="1"/>
      <c r="C59" s="3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outlineLevel="1" x14ac:dyDescent="0.35">
      <c r="A60" s="13" t="s">
        <v>45</v>
      </c>
      <c r="B60" s="29"/>
      <c r="C60" s="30"/>
      <c r="D60" s="29">
        <f t="shared" ref="D60:M60" si="38">D58-D48</f>
        <v>0</v>
      </c>
      <c r="E60" s="29">
        <f t="shared" si="38"/>
        <v>0</v>
      </c>
      <c r="F60" s="29">
        <f t="shared" si="38"/>
        <v>0</v>
      </c>
      <c r="G60" s="29">
        <f t="shared" si="38"/>
        <v>0</v>
      </c>
      <c r="H60" s="29">
        <f t="shared" si="38"/>
        <v>0</v>
      </c>
      <c r="I60" s="29">
        <f t="shared" si="38"/>
        <v>0</v>
      </c>
      <c r="J60" s="29">
        <f t="shared" si="38"/>
        <v>0</v>
      </c>
      <c r="K60" s="29">
        <f t="shared" si="38"/>
        <v>0</v>
      </c>
      <c r="L60" s="29">
        <f t="shared" si="38"/>
        <v>0</v>
      </c>
      <c r="M60" s="29">
        <f t="shared" si="38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outlineLevel="1" x14ac:dyDescent="0.35">
      <c r="A61" s="29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3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5" x14ac:dyDescent="0.35">
      <c r="A63" s="33" t="s">
        <v>46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outlineLevel="1" x14ac:dyDescent="0.35">
      <c r="A64" s="5"/>
      <c r="B64" s="1"/>
      <c r="C64" s="3"/>
      <c r="D64" s="17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outlineLevel="1" x14ac:dyDescent="0.35">
      <c r="A65" s="5" t="s">
        <v>47</v>
      </c>
      <c r="B65" s="1"/>
      <c r="C65" s="3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outlineLevel="1" x14ac:dyDescent="0.35">
      <c r="A66" s="1" t="s">
        <v>29</v>
      </c>
      <c r="B66" s="1"/>
      <c r="C66" s="3"/>
      <c r="D66" s="4">
        <v>2474</v>
      </c>
      <c r="E66" s="4">
        <v>11791</v>
      </c>
      <c r="F66" s="4">
        <v>21075</v>
      </c>
      <c r="G66" s="4">
        <v>26713</v>
      </c>
      <c r="H66" s="4">
        <v>28227</v>
      </c>
      <c r="I66" s="1">
        <f t="shared" ref="I66:M66" si="39">I38</f>
        <v>26543.391839999997</v>
      </c>
      <c r="J66" s="1">
        <f t="shared" si="39"/>
        <v>24400.984104000003</v>
      </c>
      <c r="K66" s="1">
        <f t="shared" si="39"/>
        <v>25209.120733200005</v>
      </c>
      <c r="L66" s="1">
        <f t="shared" si="39"/>
        <v>52749.494946180028</v>
      </c>
      <c r="M66" s="1">
        <f t="shared" si="39"/>
        <v>61838.566404057026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outlineLevel="1" x14ac:dyDescent="0.35">
      <c r="A67" s="1" t="s">
        <v>48</v>
      </c>
      <c r="B67" s="1"/>
      <c r="C67" s="3"/>
      <c r="D67" s="4">
        <v>19500</v>
      </c>
      <c r="E67" s="4">
        <v>18150</v>
      </c>
      <c r="F67" s="4">
        <v>17205</v>
      </c>
      <c r="G67" s="4">
        <v>16544</v>
      </c>
      <c r="H67" s="4">
        <v>16080</v>
      </c>
      <c r="I67" s="1">
        <f>I98</f>
        <v>13132.350000000002</v>
      </c>
      <c r="J67" s="1">
        <f t="shared" ref="J67:M67" si="40">J98</f>
        <v>13786.027500000002</v>
      </c>
      <c r="K67" s="1">
        <f t="shared" si="40"/>
        <v>14210.917875000001</v>
      </c>
      <c r="L67" s="1">
        <f t="shared" si="40"/>
        <v>14487.096618750002</v>
      </c>
      <c r="M67" s="1">
        <f t="shared" si="40"/>
        <v>14666.612802187501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outlineLevel="1" x14ac:dyDescent="0.35">
      <c r="A68" s="1" t="s">
        <v>49</v>
      </c>
      <c r="B68" s="1"/>
      <c r="C68" s="3"/>
      <c r="D68" s="4">
        <v>9003</v>
      </c>
      <c r="E68" s="4">
        <v>1702</v>
      </c>
      <c r="F68" s="4">
        <v>775</v>
      </c>
      <c r="G68" s="4">
        <v>902</v>
      </c>
      <c r="H68" s="4">
        <v>828</v>
      </c>
      <c r="I68" s="1">
        <f>I93</f>
        <v>3174.9921972602751</v>
      </c>
      <c r="J68" s="1">
        <f t="shared" ref="J68:M68" si="41">J93</f>
        <v>5062.2628416438383</v>
      </c>
      <c r="K68" s="1">
        <f t="shared" si="41"/>
        <v>5767.9171090411</v>
      </c>
      <c r="L68" s="1">
        <f t="shared" si="41"/>
        <v>-2612.6565262027398</v>
      </c>
      <c r="M68" s="1">
        <f t="shared" si="41"/>
        <v>2041.1379110958951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outlineLevel="1" x14ac:dyDescent="0.35">
      <c r="A69" s="7" t="s">
        <v>50</v>
      </c>
      <c r="B69" s="6"/>
      <c r="C69" s="31"/>
      <c r="D69" s="7">
        <f t="shared" ref="D69:M69" si="42">D66+D67-D68</f>
        <v>12971</v>
      </c>
      <c r="E69" s="7">
        <f t="shared" si="42"/>
        <v>28239</v>
      </c>
      <c r="F69" s="7">
        <f t="shared" si="42"/>
        <v>37505</v>
      </c>
      <c r="G69" s="7">
        <f t="shared" si="42"/>
        <v>42355</v>
      </c>
      <c r="H69" s="7">
        <f t="shared" si="42"/>
        <v>43479</v>
      </c>
      <c r="I69" s="7">
        <f t="shared" si="42"/>
        <v>36500.749642739727</v>
      </c>
      <c r="J69" s="7">
        <f t="shared" si="42"/>
        <v>33124.748762356168</v>
      </c>
      <c r="K69" s="7">
        <f t="shared" si="42"/>
        <v>33652.121499158908</v>
      </c>
      <c r="L69" s="7">
        <f t="shared" si="42"/>
        <v>69849.248091132773</v>
      </c>
      <c r="M69" s="7">
        <f t="shared" si="42"/>
        <v>74464.041295148636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outlineLevel="1" x14ac:dyDescent="0.35">
      <c r="A70" s="5"/>
      <c r="B70" s="1"/>
      <c r="C70" s="3"/>
      <c r="D70" s="17"/>
      <c r="E70" s="17"/>
      <c r="F70" s="17"/>
      <c r="G70" s="17"/>
      <c r="H70" s="17"/>
      <c r="I70" s="5"/>
      <c r="J70" s="5"/>
      <c r="K70" s="5"/>
      <c r="L70" s="5"/>
      <c r="M70" s="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outlineLevel="1" x14ac:dyDescent="0.35">
      <c r="A71" s="5" t="s">
        <v>51</v>
      </c>
      <c r="B71" s="1"/>
      <c r="C71" s="3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outlineLevel="1" x14ac:dyDescent="0.35">
      <c r="A72" s="1" t="s">
        <v>52</v>
      </c>
      <c r="B72" s="1"/>
      <c r="C72" s="3"/>
      <c r="D72" s="4">
        <v>15000</v>
      </c>
      <c r="E72" s="4">
        <v>15000</v>
      </c>
      <c r="F72" s="4">
        <v>15000</v>
      </c>
      <c r="G72" s="4">
        <v>15000</v>
      </c>
      <c r="H72" s="4">
        <v>15000</v>
      </c>
      <c r="I72" s="1">
        <f t="shared" ref="I72:M72" si="43">I97</f>
        <v>15000</v>
      </c>
      <c r="J72" s="1">
        <f t="shared" si="43"/>
        <v>15000</v>
      </c>
      <c r="K72" s="1">
        <f t="shared" si="43"/>
        <v>15000</v>
      </c>
      <c r="L72" s="1">
        <f t="shared" si="43"/>
        <v>15000</v>
      </c>
      <c r="M72" s="1">
        <f t="shared" si="43"/>
        <v>15000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outlineLevel="1" x14ac:dyDescent="0.35">
      <c r="A73" s="7" t="s">
        <v>53</v>
      </c>
      <c r="B73" s="6"/>
      <c r="C73" s="31"/>
      <c r="D73" s="7">
        <f t="shared" ref="D73:M73" si="44">SUM(D72)</f>
        <v>15000</v>
      </c>
      <c r="E73" s="7">
        <f t="shared" si="44"/>
        <v>15000</v>
      </c>
      <c r="F73" s="7">
        <f t="shared" si="44"/>
        <v>15000</v>
      </c>
      <c r="G73" s="7">
        <f t="shared" si="44"/>
        <v>15000</v>
      </c>
      <c r="H73" s="7">
        <f t="shared" si="44"/>
        <v>15000</v>
      </c>
      <c r="I73" s="7">
        <f t="shared" si="44"/>
        <v>15000</v>
      </c>
      <c r="J73" s="7">
        <f t="shared" si="44"/>
        <v>15000</v>
      </c>
      <c r="K73" s="7">
        <f t="shared" si="44"/>
        <v>15000</v>
      </c>
      <c r="L73" s="7">
        <f t="shared" si="44"/>
        <v>15000</v>
      </c>
      <c r="M73" s="7">
        <f t="shared" si="44"/>
        <v>15000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outlineLevel="1" x14ac:dyDescent="0.35">
      <c r="A74" s="5"/>
      <c r="B74" s="1"/>
      <c r="C74" s="3"/>
      <c r="D74" s="17"/>
      <c r="E74" s="17"/>
      <c r="F74" s="17"/>
      <c r="G74" s="17"/>
      <c r="H74" s="17"/>
      <c r="I74" s="5"/>
      <c r="J74" s="5"/>
      <c r="K74" s="5"/>
      <c r="L74" s="5"/>
      <c r="M74" s="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outlineLevel="1" x14ac:dyDescent="0.35">
      <c r="A75" s="5" t="s">
        <v>54</v>
      </c>
      <c r="B75" s="1"/>
      <c r="C75" s="3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outlineLevel="1" x14ac:dyDescent="0.35">
      <c r="A76" s="1" t="s">
        <v>55</v>
      </c>
      <c r="B76" s="1"/>
      <c r="C76" s="3"/>
      <c r="D76" s="4">
        <v>0</v>
      </c>
      <c r="E76" s="4">
        <v>0</v>
      </c>
      <c r="F76" s="4">
        <v>-20000</v>
      </c>
      <c r="G76" s="4">
        <v>0</v>
      </c>
      <c r="H76" s="4">
        <v>0</v>
      </c>
      <c r="I76" s="1">
        <f t="shared" ref="I76:M76" si="45">I103</f>
        <v>0</v>
      </c>
      <c r="J76" s="1">
        <f t="shared" si="45"/>
        <v>0</v>
      </c>
      <c r="K76" s="1">
        <f t="shared" si="45"/>
        <v>-20000</v>
      </c>
      <c r="L76" s="1">
        <f t="shared" si="45"/>
        <v>0</v>
      </c>
      <c r="M76" s="1">
        <f t="shared" si="45"/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outlineLevel="1" x14ac:dyDescent="0.35">
      <c r="A77" s="1" t="s">
        <v>56</v>
      </c>
      <c r="B77" s="1"/>
      <c r="C77" s="3"/>
      <c r="D77" s="4">
        <v>70000</v>
      </c>
      <c r="E77" s="4">
        <v>0</v>
      </c>
      <c r="F77" s="4">
        <v>0</v>
      </c>
      <c r="G77" s="4">
        <v>0</v>
      </c>
      <c r="H77" s="4">
        <v>0</v>
      </c>
      <c r="I77" s="1">
        <f t="shared" ref="I77:M77" si="46">I20</f>
        <v>0</v>
      </c>
      <c r="J77" s="1">
        <f t="shared" si="46"/>
        <v>0</v>
      </c>
      <c r="K77" s="1">
        <f t="shared" si="46"/>
        <v>0</v>
      </c>
      <c r="L77" s="1">
        <f t="shared" si="46"/>
        <v>0</v>
      </c>
      <c r="M77" s="1">
        <f t="shared" si="46"/>
        <v>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outlineLevel="1" x14ac:dyDescent="0.35">
      <c r="A78" s="7" t="s">
        <v>57</v>
      </c>
      <c r="B78" s="6"/>
      <c r="C78" s="31"/>
      <c r="D78" s="7">
        <f t="shared" ref="D78:M78" si="47">SUM(D76:D77)</f>
        <v>70000</v>
      </c>
      <c r="E78" s="7">
        <f t="shared" si="47"/>
        <v>0</v>
      </c>
      <c r="F78" s="7">
        <f t="shared" si="47"/>
        <v>-20000</v>
      </c>
      <c r="G78" s="7">
        <f t="shared" si="47"/>
        <v>0</v>
      </c>
      <c r="H78" s="7">
        <f t="shared" si="47"/>
        <v>0</v>
      </c>
      <c r="I78" s="7">
        <f t="shared" si="47"/>
        <v>0</v>
      </c>
      <c r="J78" s="7">
        <f t="shared" si="47"/>
        <v>0</v>
      </c>
      <c r="K78" s="7">
        <f t="shared" si="47"/>
        <v>-20000</v>
      </c>
      <c r="L78" s="7">
        <f t="shared" si="47"/>
        <v>0</v>
      </c>
      <c r="M78" s="7">
        <f t="shared" si="47"/>
        <v>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outlineLevel="1" x14ac:dyDescent="0.35">
      <c r="A79" s="5"/>
      <c r="B79" s="1"/>
      <c r="C79" s="3"/>
      <c r="D79" s="17"/>
      <c r="E79" s="17"/>
      <c r="F79" s="17"/>
      <c r="G79" s="17"/>
      <c r="H79" s="17"/>
      <c r="I79" s="5"/>
      <c r="J79" s="5"/>
      <c r="K79" s="5"/>
      <c r="L79" s="5"/>
      <c r="M79" s="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outlineLevel="1" x14ac:dyDescent="0.35">
      <c r="A80" s="1" t="s">
        <v>58</v>
      </c>
      <c r="B80" s="1"/>
      <c r="C80" s="3"/>
      <c r="D80" s="1">
        <f t="shared" ref="D80:M80" si="48">D69-D73+D78</f>
        <v>67971</v>
      </c>
      <c r="E80" s="1">
        <f t="shared" si="48"/>
        <v>13239</v>
      </c>
      <c r="F80" s="1">
        <f t="shared" si="48"/>
        <v>2505</v>
      </c>
      <c r="G80" s="1">
        <f t="shared" si="48"/>
        <v>27355</v>
      </c>
      <c r="H80" s="1">
        <f t="shared" si="48"/>
        <v>28479</v>
      </c>
      <c r="I80" s="1">
        <f t="shared" si="48"/>
        <v>21500.749642739727</v>
      </c>
      <c r="J80" s="1">
        <f t="shared" si="48"/>
        <v>18124.748762356168</v>
      </c>
      <c r="K80" s="1">
        <f t="shared" si="48"/>
        <v>-1347.8785008410923</v>
      </c>
      <c r="L80" s="1">
        <f t="shared" si="48"/>
        <v>54849.248091132773</v>
      </c>
      <c r="M80" s="1">
        <f t="shared" si="48"/>
        <v>59464.041295148636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outlineLevel="1" x14ac:dyDescent="0.35">
      <c r="A81" s="1" t="s">
        <v>59</v>
      </c>
      <c r="B81" s="1"/>
      <c r="C81" s="3"/>
      <c r="D81" s="4">
        <v>0</v>
      </c>
      <c r="E81" s="1">
        <f t="shared" ref="E81:M81" si="49">D82</f>
        <v>67971</v>
      </c>
      <c r="F81" s="1">
        <f t="shared" si="49"/>
        <v>81210</v>
      </c>
      <c r="G81" s="1">
        <f t="shared" si="49"/>
        <v>83715</v>
      </c>
      <c r="H81" s="1">
        <f t="shared" si="49"/>
        <v>111070</v>
      </c>
      <c r="I81" s="1">
        <f t="shared" si="49"/>
        <v>139549</v>
      </c>
      <c r="J81" s="1">
        <f t="shared" si="49"/>
        <v>161049.74964273971</v>
      </c>
      <c r="K81" s="1">
        <f t="shared" si="49"/>
        <v>179174.49840509589</v>
      </c>
      <c r="L81" s="1">
        <f t="shared" si="49"/>
        <v>177826.6199042548</v>
      </c>
      <c r="M81" s="1">
        <f t="shared" si="49"/>
        <v>232675.86799538758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outlineLevel="1" x14ac:dyDescent="0.35">
      <c r="A82" s="7" t="s">
        <v>60</v>
      </c>
      <c r="B82" s="6"/>
      <c r="C82" s="31"/>
      <c r="D82" s="7">
        <f t="shared" ref="D82:M82" si="50">SUM(D80:D81)</f>
        <v>67971</v>
      </c>
      <c r="E82" s="7">
        <f t="shared" si="50"/>
        <v>81210</v>
      </c>
      <c r="F82" s="7">
        <f t="shared" si="50"/>
        <v>83715</v>
      </c>
      <c r="G82" s="7">
        <f t="shared" si="50"/>
        <v>111070</v>
      </c>
      <c r="H82" s="7">
        <f t="shared" si="50"/>
        <v>139549</v>
      </c>
      <c r="I82" s="7">
        <f t="shared" si="50"/>
        <v>161049.74964273971</v>
      </c>
      <c r="J82" s="7">
        <f t="shared" si="50"/>
        <v>179174.49840509589</v>
      </c>
      <c r="K82" s="7">
        <f t="shared" si="50"/>
        <v>177826.6199042548</v>
      </c>
      <c r="L82" s="7">
        <f t="shared" si="50"/>
        <v>232675.86799538758</v>
      </c>
      <c r="M82" s="7">
        <f t="shared" si="50"/>
        <v>292139.90929053619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outlineLevel="1" x14ac:dyDescent="0.35">
      <c r="A83" s="5"/>
      <c r="B83" s="1"/>
      <c r="C83" s="3"/>
      <c r="D83" s="17"/>
      <c r="E83" s="17"/>
      <c r="F83" s="17"/>
      <c r="G83" s="17"/>
      <c r="H83" s="1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outlineLevel="1" x14ac:dyDescent="0.35">
      <c r="A84" s="5"/>
      <c r="B84" s="1"/>
      <c r="C84" s="3"/>
      <c r="D84" s="17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3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5" x14ac:dyDescent="0.35">
      <c r="A86" s="33" t="s">
        <v>61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outlineLevel="1" x14ac:dyDescent="0.35">
      <c r="A87" s="1"/>
      <c r="B87" s="1"/>
      <c r="C87" s="3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outlineLevel="1" x14ac:dyDescent="0.35">
      <c r="A88" s="5" t="s">
        <v>62</v>
      </c>
      <c r="B88" s="1"/>
      <c r="C88" s="3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outlineLevel="1" x14ac:dyDescent="0.35">
      <c r="A89" s="1" t="s">
        <v>33</v>
      </c>
      <c r="B89" s="1"/>
      <c r="C89" s="3"/>
      <c r="D89" s="1">
        <f t="shared" ref="D89:M89" si="51">D45</f>
        <v>5100</v>
      </c>
      <c r="E89" s="1">
        <f t="shared" si="51"/>
        <v>5904</v>
      </c>
      <c r="F89" s="1">
        <f t="shared" si="51"/>
        <v>6567</v>
      </c>
      <c r="G89" s="1">
        <f t="shared" si="51"/>
        <v>7117</v>
      </c>
      <c r="H89" s="1">
        <f t="shared" si="51"/>
        <v>7538</v>
      </c>
      <c r="I89" s="1">
        <f t="shared" si="51"/>
        <v>8178.8646575342473</v>
      </c>
      <c r="J89" s="1">
        <f t="shared" si="51"/>
        <v>8996.7511232876732</v>
      </c>
      <c r="K89" s="1">
        <f t="shared" si="51"/>
        <v>9896.42623561644</v>
      </c>
      <c r="L89" s="1">
        <f t="shared" si="51"/>
        <v>10886.068859178085</v>
      </c>
      <c r="M89" s="1">
        <f t="shared" si="51"/>
        <v>11974.675745095894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outlineLevel="1" x14ac:dyDescent="0.35">
      <c r="A90" s="1" t="s">
        <v>34</v>
      </c>
      <c r="B90" s="1"/>
      <c r="C90" s="3"/>
      <c r="D90" s="1">
        <f t="shared" ref="D90:M90" si="52">D46</f>
        <v>7805</v>
      </c>
      <c r="E90" s="1">
        <f t="shared" si="52"/>
        <v>9601</v>
      </c>
      <c r="F90" s="1">
        <f t="shared" si="52"/>
        <v>9825</v>
      </c>
      <c r="G90" s="1">
        <f t="shared" si="52"/>
        <v>10531</v>
      </c>
      <c r="H90" s="1">
        <f t="shared" si="52"/>
        <v>11342</v>
      </c>
      <c r="I90" s="1">
        <f t="shared" si="52"/>
        <v>15267.21402739726</v>
      </c>
      <c r="J90" s="1">
        <f t="shared" si="52"/>
        <v>21142.365139726033</v>
      </c>
      <c r="K90" s="1">
        <f t="shared" si="52"/>
        <v>27490.072876712333</v>
      </c>
      <c r="L90" s="1">
        <f t="shared" si="52"/>
        <v>21772.137718356171</v>
      </c>
      <c r="M90" s="1">
        <f t="shared" si="52"/>
        <v>23284.091726575352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outlineLevel="1" x14ac:dyDescent="0.35">
      <c r="A91" s="1" t="s">
        <v>38</v>
      </c>
      <c r="B91" s="1"/>
      <c r="C91" s="3"/>
      <c r="D91" s="1">
        <f t="shared" ref="D91:M91" si="53">D51</f>
        <v>3902</v>
      </c>
      <c r="E91" s="1">
        <f t="shared" si="53"/>
        <v>4800</v>
      </c>
      <c r="F91" s="1">
        <f t="shared" si="53"/>
        <v>4912</v>
      </c>
      <c r="G91" s="1">
        <f t="shared" si="53"/>
        <v>5266</v>
      </c>
      <c r="H91" s="1">
        <f t="shared" si="53"/>
        <v>5670</v>
      </c>
      <c r="I91" s="1">
        <f t="shared" si="53"/>
        <v>7061.086487671233</v>
      </c>
      <c r="J91" s="1">
        <f t="shared" si="53"/>
        <v>8691.8612241095907</v>
      </c>
      <c r="K91" s="1">
        <f t="shared" si="53"/>
        <v>10171.326964383563</v>
      </c>
      <c r="L91" s="1">
        <f t="shared" si="53"/>
        <v>8055.6909557917834</v>
      </c>
      <c r="M91" s="1">
        <f t="shared" si="53"/>
        <v>8615.1139388328793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outlineLevel="1" x14ac:dyDescent="0.35">
      <c r="A92" s="6" t="s">
        <v>63</v>
      </c>
      <c r="B92" s="6"/>
      <c r="C92" s="31"/>
      <c r="D92" s="6">
        <f t="shared" ref="D92:M92" si="54">D89+D90-D91</f>
        <v>9003</v>
      </c>
      <c r="E92" s="6">
        <f t="shared" si="54"/>
        <v>10705</v>
      </c>
      <c r="F92" s="6">
        <f t="shared" si="54"/>
        <v>11480</v>
      </c>
      <c r="G92" s="6">
        <f t="shared" si="54"/>
        <v>12382</v>
      </c>
      <c r="H92" s="6">
        <f t="shared" si="54"/>
        <v>13210</v>
      </c>
      <c r="I92" s="6">
        <f t="shared" si="54"/>
        <v>16384.992197260275</v>
      </c>
      <c r="J92" s="6">
        <f t="shared" si="54"/>
        <v>21447.255038904113</v>
      </c>
      <c r="K92" s="6">
        <f t="shared" si="54"/>
        <v>27215.172147945214</v>
      </c>
      <c r="L92" s="6">
        <f t="shared" si="54"/>
        <v>24602.515621742474</v>
      </c>
      <c r="M92" s="6">
        <f t="shared" si="54"/>
        <v>26643.653532838369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outlineLevel="1" x14ac:dyDescent="0.35">
      <c r="A93" s="1" t="s">
        <v>64</v>
      </c>
      <c r="B93" s="1"/>
      <c r="C93" s="3"/>
      <c r="D93" s="1">
        <f t="shared" ref="D93:M93" si="55">D92-C92</f>
        <v>9003</v>
      </c>
      <c r="E93" s="1">
        <f t="shared" si="55"/>
        <v>1702</v>
      </c>
      <c r="F93" s="1">
        <f t="shared" si="55"/>
        <v>775</v>
      </c>
      <c r="G93" s="1">
        <f t="shared" si="55"/>
        <v>902</v>
      </c>
      <c r="H93" s="1">
        <f t="shared" si="55"/>
        <v>828</v>
      </c>
      <c r="I93" s="1">
        <f t="shared" si="55"/>
        <v>3174.9921972602751</v>
      </c>
      <c r="J93" s="1">
        <f t="shared" si="55"/>
        <v>5062.2628416438383</v>
      </c>
      <c r="K93" s="1">
        <f t="shared" si="55"/>
        <v>5767.9171090411</v>
      </c>
      <c r="L93" s="1">
        <f t="shared" si="55"/>
        <v>-2612.6565262027398</v>
      </c>
      <c r="M93" s="1">
        <f t="shared" si="55"/>
        <v>2041.1379110958951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outlineLevel="1" x14ac:dyDescent="0.35">
      <c r="A94" s="1"/>
      <c r="B94" s="1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outlineLevel="1" x14ac:dyDescent="0.35">
      <c r="A95" s="5" t="s">
        <v>65</v>
      </c>
      <c r="B95" s="1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outlineLevel="1" x14ac:dyDescent="0.35">
      <c r="A96" s="1" t="s">
        <v>66</v>
      </c>
      <c r="B96" s="1"/>
      <c r="C96" s="3"/>
      <c r="D96" s="4">
        <v>50000.000000000007</v>
      </c>
      <c r="E96" s="1">
        <f t="shared" ref="E96:M96" si="56">D99</f>
        <v>45500.000000000007</v>
      </c>
      <c r="F96" s="1">
        <f t="shared" si="56"/>
        <v>42350.000000000007</v>
      </c>
      <c r="G96" s="1">
        <f t="shared" si="56"/>
        <v>40145.000000000007</v>
      </c>
      <c r="H96" s="1">
        <f t="shared" si="56"/>
        <v>38601.000000000007</v>
      </c>
      <c r="I96" s="1">
        <f t="shared" si="56"/>
        <v>37521.000000000007</v>
      </c>
      <c r="J96" s="1">
        <f t="shared" si="56"/>
        <v>39388.650000000009</v>
      </c>
      <c r="K96" s="1">
        <f t="shared" si="56"/>
        <v>40602.622500000005</v>
      </c>
      <c r="L96" s="1">
        <f t="shared" si="56"/>
        <v>41391.704625000006</v>
      </c>
      <c r="M96" s="1">
        <f t="shared" si="56"/>
        <v>41904.608006250004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outlineLevel="1" x14ac:dyDescent="0.35">
      <c r="A97" s="1" t="s">
        <v>67</v>
      </c>
      <c r="B97" s="1"/>
      <c r="C97" s="3"/>
      <c r="D97" s="1">
        <f t="shared" ref="D97:H97" si="57">D72</f>
        <v>15000</v>
      </c>
      <c r="E97" s="1">
        <f t="shared" si="57"/>
        <v>15000</v>
      </c>
      <c r="F97" s="1">
        <f t="shared" si="57"/>
        <v>15000</v>
      </c>
      <c r="G97" s="1">
        <f t="shared" si="57"/>
        <v>15000</v>
      </c>
      <c r="H97" s="1">
        <f t="shared" si="57"/>
        <v>15000</v>
      </c>
      <c r="I97" s="1">
        <f t="shared" ref="I97:M97" si="58">I18</f>
        <v>15000</v>
      </c>
      <c r="J97" s="1">
        <f t="shared" si="58"/>
        <v>15000</v>
      </c>
      <c r="K97" s="1">
        <f t="shared" si="58"/>
        <v>15000</v>
      </c>
      <c r="L97" s="1">
        <f t="shared" si="58"/>
        <v>15000</v>
      </c>
      <c r="M97" s="1">
        <f t="shared" si="58"/>
        <v>15000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outlineLevel="1" x14ac:dyDescent="0.35">
      <c r="A98" s="1" t="s">
        <v>68</v>
      </c>
      <c r="B98" s="1"/>
      <c r="C98" s="25"/>
      <c r="D98" s="1">
        <f t="shared" ref="D98:H98" si="59">D67</f>
        <v>19500</v>
      </c>
      <c r="E98" s="1">
        <f t="shared" si="59"/>
        <v>18150</v>
      </c>
      <c r="F98" s="1">
        <f t="shared" si="59"/>
        <v>17205</v>
      </c>
      <c r="G98" s="1">
        <f t="shared" si="59"/>
        <v>16544</v>
      </c>
      <c r="H98" s="1">
        <f t="shared" si="59"/>
        <v>16080</v>
      </c>
      <c r="I98" s="1">
        <f>I96*I12</f>
        <v>13132.350000000002</v>
      </c>
      <c r="J98" s="1">
        <f t="shared" ref="J98:M98" si="60">J96*J12</f>
        <v>13786.027500000002</v>
      </c>
      <c r="K98" s="1">
        <f t="shared" si="60"/>
        <v>14210.917875000001</v>
      </c>
      <c r="L98" s="1">
        <f t="shared" si="60"/>
        <v>14487.096618750002</v>
      </c>
      <c r="M98" s="1">
        <f t="shared" si="60"/>
        <v>14666.612802187501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outlineLevel="1" x14ac:dyDescent="0.35">
      <c r="A99" s="6" t="s">
        <v>69</v>
      </c>
      <c r="B99" s="6"/>
      <c r="C99" s="31"/>
      <c r="D99" s="6">
        <f t="shared" ref="D99:M99" si="61">D96+D97-D98</f>
        <v>45500.000000000007</v>
      </c>
      <c r="E99" s="6">
        <f t="shared" si="61"/>
        <v>42350.000000000007</v>
      </c>
      <c r="F99" s="6">
        <f t="shared" si="61"/>
        <v>40145.000000000007</v>
      </c>
      <c r="G99" s="6">
        <f t="shared" si="61"/>
        <v>38601.000000000007</v>
      </c>
      <c r="H99" s="6">
        <f t="shared" si="61"/>
        <v>37521.000000000007</v>
      </c>
      <c r="I99" s="6">
        <f t="shared" si="61"/>
        <v>39388.650000000009</v>
      </c>
      <c r="J99" s="6">
        <f t="shared" si="61"/>
        <v>40602.622500000005</v>
      </c>
      <c r="K99" s="6">
        <f t="shared" si="61"/>
        <v>41391.704625000006</v>
      </c>
      <c r="L99" s="6">
        <f t="shared" si="61"/>
        <v>41904.608006250004</v>
      </c>
      <c r="M99" s="6">
        <f t="shared" si="61"/>
        <v>42237.995204062507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outlineLevel="1" x14ac:dyDescent="0.35">
      <c r="A100" s="1"/>
      <c r="B100" s="1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outlineLevel="1" x14ac:dyDescent="0.35">
      <c r="A101" s="5" t="s">
        <v>70</v>
      </c>
      <c r="B101" s="1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outlineLevel="1" x14ac:dyDescent="0.35">
      <c r="A102" s="1" t="s">
        <v>71</v>
      </c>
      <c r="B102" s="1"/>
      <c r="C102" s="3"/>
      <c r="D102" s="4">
        <v>50000.000000000007</v>
      </c>
      <c r="E102" s="1">
        <f t="shared" ref="E102:M102" si="62">D104</f>
        <v>50000.000000000007</v>
      </c>
      <c r="F102" s="1">
        <f t="shared" si="62"/>
        <v>50000.000000000007</v>
      </c>
      <c r="G102" s="1">
        <f t="shared" si="62"/>
        <v>30000.000000000007</v>
      </c>
      <c r="H102" s="1">
        <f t="shared" si="62"/>
        <v>30000.000000000007</v>
      </c>
      <c r="I102" s="1">
        <f t="shared" si="62"/>
        <v>30000.000000000007</v>
      </c>
      <c r="J102" s="1">
        <f t="shared" si="62"/>
        <v>30000.000000000007</v>
      </c>
      <c r="K102" s="1">
        <f t="shared" si="62"/>
        <v>30000.000000000007</v>
      </c>
      <c r="L102" s="1">
        <f t="shared" si="62"/>
        <v>10000.000000000007</v>
      </c>
      <c r="M102" s="1">
        <f t="shared" si="62"/>
        <v>10000.000000000007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outlineLevel="1" x14ac:dyDescent="0.35">
      <c r="A103" s="1" t="s">
        <v>72</v>
      </c>
      <c r="B103" s="1"/>
      <c r="C103" s="3"/>
      <c r="D103" s="1">
        <f t="shared" ref="D103:H103" si="63">D76</f>
        <v>0</v>
      </c>
      <c r="E103" s="1">
        <f t="shared" si="63"/>
        <v>0</v>
      </c>
      <c r="F103" s="1">
        <f t="shared" si="63"/>
        <v>-20000</v>
      </c>
      <c r="G103" s="1">
        <f t="shared" si="63"/>
        <v>0</v>
      </c>
      <c r="H103" s="1">
        <f t="shared" si="63"/>
        <v>0</v>
      </c>
      <c r="I103" s="1">
        <f t="shared" ref="I103:M103" si="64">I19</f>
        <v>0</v>
      </c>
      <c r="J103" s="1">
        <f t="shared" si="64"/>
        <v>0</v>
      </c>
      <c r="K103" s="1">
        <f t="shared" si="64"/>
        <v>-20000</v>
      </c>
      <c r="L103" s="1">
        <f t="shared" si="64"/>
        <v>0</v>
      </c>
      <c r="M103" s="1">
        <f t="shared" si="64"/>
        <v>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outlineLevel="1" x14ac:dyDescent="0.35">
      <c r="A104" s="6" t="s">
        <v>73</v>
      </c>
      <c r="B104" s="6"/>
      <c r="C104" s="31"/>
      <c r="D104" s="6">
        <f t="shared" ref="D104:M104" si="65">D102+D103</f>
        <v>50000.000000000007</v>
      </c>
      <c r="E104" s="6">
        <f t="shared" si="65"/>
        <v>50000.000000000007</v>
      </c>
      <c r="F104" s="6">
        <f t="shared" si="65"/>
        <v>30000.000000000007</v>
      </c>
      <c r="G104" s="6">
        <f t="shared" si="65"/>
        <v>30000.000000000007</v>
      </c>
      <c r="H104" s="6">
        <f t="shared" si="65"/>
        <v>30000.000000000007</v>
      </c>
      <c r="I104" s="6">
        <f t="shared" si="65"/>
        <v>30000.000000000007</v>
      </c>
      <c r="J104" s="6">
        <f t="shared" si="65"/>
        <v>30000.000000000007</v>
      </c>
      <c r="K104" s="6">
        <f t="shared" si="65"/>
        <v>10000.000000000007</v>
      </c>
      <c r="L104" s="6">
        <f t="shared" si="65"/>
        <v>10000.000000000007</v>
      </c>
      <c r="M104" s="6">
        <f t="shared" si="65"/>
        <v>10000.000000000007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outlineLevel="1" x14ac:dyDescent="0.35">
      <c r="A105" s="1" t="s">
        <v>74</v>
      </c>
      <c r="B105" s="1"/>
      <c r="C105" s="25"/>
      <c r="D105" s="1">
        <f t="shared" ref="D105:H105" si="66">D33</f>
        <v>2500</v>
      </c>
      <c r="E105" s="1">
        <f t="shared" si="66"/>
        <v>2500</v>
      </c>
      <c r="F105" s="1">
        <f t="shared" si="66"/>
        <v>1500</v>
      </c>
      <c r="G105" s="1">
        <f t="shared" si="66"/>
        <v>1500</v>
      </c>
      <c r="H105" s="1">
        <f t="shared" si="66"/>
        <v>1500</v>
      </c>
      <c r="I105" s="1">
        <f t="shared" ref="I105:M105" si="67">AVERAGE(I102,I104)*I13</f>
        <v>3000.0000000000009</v>
      </c>
      <c r="J105" s="1">
        <f t="shared" si="67"/>
        <v>3000.0000000000009</v>
      </c>
      <c r="K105" s="1">
        <f t="shared" si="67"/>
        <v>2000.0000000000009</v>
      </c>
      <c r="L105" s="1">
        <f t="shared" si="67"/>
        <v>1000.0000000000008</v>
      </c>
      <c r="M105" s="1">
        <f t="shared" si="67"/>
        <v>1000.0000000000008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outlineLevel="1" x14ac:dyDescent="0.35">
      <c r="A106" s="1"/>
      <c r="B106" s="1"/>
      <c r="C106" s="3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outlineLevel="1" x14ac:dyDescent="0.35">
      <c r="A107" s="1"/>
      <c r="B107" s="1"/>
      <c r="C107" s="3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3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5" x14ac:dyDescent="0.35">
      <c r="A109" s="33" t="s">
        <v>75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outlineLevel="1" x14ac:dyDescent="0.35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outlineLevel="1" x14ac:dyDescent="0.35">
      <c r="A111" s="1" t="s">
        <v>18</v>
      </c>
      <c r="B111" s="1"/>
      <c r="C111" s="3"/>
      <c r="D111" s="1">
        <f t="shared" ref="D111:M111" si="68">D26</f>
        <v>102007</v>
      </c>
      <c r="E111" s="1">
        <f t="shared" si="68"/>
        <v>118086</v>
      </c>
      <c r="F111" s="1">
        <f t="shared" si="68"/>
        <v>131345</v>
      </c>
      <c r="G111" s="1">
        <f t="shared" si="68"/>
        <v>142341</v>
      </c>
      <c r="H111" s="1">
        <f t="shared" si="68"/>
        <v>150772</v>
      </c>
      <c r="I111" s="1">
        <f t="shared" si="68"/>
        <v>165849.20000000001</v>
      </c>
      <c r="J111" s="1">
        <f t="shared" si="68"/>
        <v>182434.12000000002</v>
      </c>
      <c r="K111" s="1">
        <f t="shared" si="68"/>
        <v>200677.53200000004</v>
      </c>
      <c r="L111" s="1">
        <f t="shared" si="68"/>
        <v>220745.28520000007</v>
      </c>
      <c r="M111" s="1">
        <f t="shared" si="68"/>
        <v>242819.81372000009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outlineLevel="1" x14ac:dyDescent="0.35">
      <c r="A112" s="1" t="s">
        <v>76</v>
      </c>
      <c r="B112" s="1"/>
      <c r="C112" s="3"/>
      <c r="D112" s="32">
        <f t="shared" ref="D112:M112" si="69">D28/D26</f>
        <v>0.61744782220827987</v>
      </c>
      <c r="E112" s="32">
        <f t="shared" si="69"/>
        <v>0.59348271598665381</v>
      </c>
      <c r="F112" s="32">
        <f t="shared" si="69"/>
        <v>0.62600022840610603</v>
      </c>
      <c r="G112" s="32">
        <f t="shared" si="69"/>
        <v>0.63008549890755294</v>
      </c>
      <c r="H112" s="32">
        <f t="shared" si="69"/>
        <v>0.62386915342371263</v>
      </c>
      <c r="I112" s="32">
        <f t="shared" si="69"/>
        <v>0.57999999999999996</v>
      </c>
      <c r="J112" s="32">
        <f t="shared" si="69"/>
        <v>0.53</v>
      </c>
      <c r="K112" s="32">
        <f t="shared" si="69"/>
        <v>0.5</v>
      </c>
      <c r="L112" s="32">
        <f t="shared" si="69"/>
        <v>0.64</v>
      </c>
      <c r="M112" s="32">
        <f t="shared" si="69"/>
        <v>0.65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outlineLevel="1" x14ac:dyDescent="0.35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outlineLevel="1" x14ac:dyDescent="0.35">
      <c r="A114" s="1" t="s">
        <v>47</v>
      </c>
      <c r="B114" s="1"/>
      <c r="C114" s="3"/>
      <c r="D114" s="1">
        <f t="shared" ref="D114:M114" si="70">D69</f>
        <v>12971</v>
      </c>
      <c r="E114" s="1">
        <f t="shared" si="70"/>
        <v>28239</v>
      </c>
      <c r="F114" s="1">
        <f t="shared" si="70"/>
        <v>37505</v>
      </c>
      <c r="G114" s="1">
        <f t="shared" si="70"/>
        <v>42355</v>
      </c>
      <c r="H114" s="1">
        <f t="shared" si="70"/>
        <v>43479</v>
      </c>
      <c r="I114" s="1">
        <f t="shared" si="70"/>
        <v>36500.749642739727</v>
      </c>
      <c r="J114" s="1">
        <f t="shared" si="70"/>
        <v>33124.748762356168</v>
      </c>
      <c r="K114" s="1">
        <f t="shared" si="70"/>
        <v>33652.121499158908</v>
      </c>
      <c r="L114" s="1">
        <f t="shared" si="70"/>
        <v>69849.248091132773</v>
      </c>
      <c r="M114" s="1">
        <f t="shared" si="70"/>
        <v>74464.041295148636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outlineLevel="1" x14ac:dyDescent="0.35">
      <c r="A115" s="1" t="s">
        <v>51</v>
      </c>
      <c r="B115" s="1"/>
      <c r="C115" s="3"/>
      <c r="D115" s="1">
        <f t="shared" ref="D115:M115" si="71">-D73</f>
        <v>-15000</v>
      </c>
      <c r="E115" s="1">
        <f t="shared" si="71"/>
        <v>-15000</v>
      </c>
      <c r="F115" s="1">
        <f t="shared" si="71"/>
        <v>-15000</v>
      </c>
      <c r="G115" s="1">
        <f t="shared" si="71"/>
        <v>-15000</v>
      </c>
      <c r="H115" s="1">
        <f t="shared" si="71"/>
        <v>-15000</v>
      </c>
      <c r="I115" s="1">
        <f t="shared" si="71"/>
        <v>-15000</v>
      </c>
      <c r="J115" s="1">
        <f t="shared" si="71"/>
        <v>-15000</v>
      </c>
      <c r="K115" s="1">
        <f t="shared" si="71"/>
        <v>-15000</v>
      </c>
      <c r="L115" s="1">
        <f t="shared" si="71"/>
        <v>-15000</v>
      </c>
      <c r="M115" s="1">
        <f t="shared" si="71"/>
        <v>-15000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outlineLevel="1" x14ac:dyDescent="0.35">
      <c r="A116" s="1" t="s">
        <v>54</v>
      </c>
      <c r="B116" s="1"/>
      <c r="C116" s="3"/>
      <c r="D116" s="1">
        <f t="shared" ref="D116:M116" si="72">D78</f>
        <v>70000</v>
      </c>
      <c r="E116" s="1">
        <f t="shared" si="72"/>
        <v>0</v>
      </c>
      <c r="F116" s="1">
        <f t="shared" si="72"/>
        <v>-20000</v>
      </c>
      <c r="G116" s="1">
        <f t="shared" si="72"/>
        <v>0</v>
      </c>
      <c r="H116" s="1">
        <f t="shared" si="72"/>
        <v>0</v>
      </c>
      <c r="I116" s="1">
        <f t="shared" si="72"/>
        <v>0</v>
      </c>
      <c r="J116" s="1">
        <f t="shared" si="72"/>
        <v>0</v>
      </c>
      <c r="K116" s="1">
        <f t="shared" si="72"/>
        <v>-20000</v>
      </c>
      <c r="L116" s="1">
        <f t="shared" si="72"/>
        <v>0</v>
      </c>
      <c r="M116" s="1">
        <f t="shared" si="72"/>
        <v>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outlineLevel="1" x14ac:dyDescent="0.35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outlineLevel="1" x14ac:dyDescent="0.35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outlineLevel="1" x14ac:dyDescent="0.35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outlineLevel="1" x14ac:dyDescent="0.35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outlineLevel="1" x14ac:dyDescent="0.35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outlineLevel="1" x14ac:dyDescent="0.35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outlineLevel="1" x14ac:dyDescent="0.35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outlineLevel="1" x14ac:dyDescent="0.35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outlineLevel="1" x14ac:dyDescent="0.3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outlineLevel="1" x14ac:dyDescent="0.35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outlineLevel="1" x14ac:dyDescent="0.35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outlineLevel="1" x14ac:dyDescent="0.35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outlineLevel="1" x14ac:dyDescent="0.35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outlineLevel="1" x14ac:dyDescent="0.35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outlineLevel="1" x14ac:dyDescent="0.35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outlineLevel="1" x14ac:dyDescent="0.35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outlineLevel="1" x14ac:dyDescent="0.35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5" x14ac:dyDescent="0.35">
      <c r="A1001" s="1"/>
      <c r="B1001" s="1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D1:H1"/>
    <mergeCell ref="I1:M1"/>
  </mergeCells>
  <phoneticPr fontId="22" type="noConversion"/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ChitShun Chan</cp:lastModifiedBy>
  <dcterms:created xsi:type="dcterms:W3CDTF">2014-11-08T22:00:02Z</dcterms:created>
  <dcterms:modified xsi:type="dcterms:W3CDTF">2026-03-05T05:45:23Z</dcterms:modified>
</cp:coreProperties>
</file>