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mot\Downloads\"/>
    </mc:Choice>
  </mc:AlternateContent>
  <xr:revisionPtr revIDLastSave="0" documentId="13_ncr:1_{FBEF27D9-88C2-4C67-9110-5F0E73999C89}" xr6:coauthVersionLast="47" xr6:coauthVersionMax="47" xr10:uidLastSave="{00000000-0000-0000-0000-000000000000}"/>
  <bookViews>
    <workbookView xWindow="-120" yWindow="-120" windowWidth="29040" windowHeight="17520" xr2:uid="{C3A9584D-733F-4A4C-97D8-6130F7982A02}"/>
  </bookViews>
  <sheets>
    <sheet name="Dashboard 1" sheetId="4" r:id="rId1"/>
    <sheet name="Dashboard 2" sheetId="5" r:id="rId2"/>
    <sheet name="Chart" sheetId="14" r:id="rId3"/>
  </sheets>
  <definedNames>
    <definedName name="_xlchart.v1.0" hidden="1">'Dashboard 1'!$Y$9:$Y$12</definedName>
    <definedName name="_xlchart.v1.1" hidden="1">'Dashboard 1'!$P$9:$P$12</definedName>
    <definedName name="_xlchart.v1.2" hidden="1">'Dashboard 1'!$Y$9:$Y$12</definedName>
    <definedName name="_xlnm.Print_Area" localSheetId="2">Chart!$A$8:$G$249</definedName>
    <definedName name="_xlnm.Print_Area" localSheetId="0">'Dashboard 1'!$B$3:$M$72</definedName>
    <definedName name="_xlnm.Print_Area" localSheetId="1">'Dashboard 2'!$B$3:$S$59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" i="5" l="1"/>
  <c r="K6" i="5"/>
  <c r="B6" i="5"/>
  <c r="M71" i="4"/>
  <c r="M68" i="4"/>
  <c r="M69" i="4"/>
  <c r="M67" i="4"/>
  <c r="M64" i="4"/>
  <c r="M62" i="4"/>
  <c r="M61" i="4"/>
  <c r="F71" i="4"/>
  <c r="F68" i="4"/>
  <c r="F65" i="4"/>
  <c r="F66" i="4"/>
  <c r="F67" i="4"/>
  <c r="F64" i="4"/>
  <c r="F61" i="4"/>
  <c r="F60" i="4"/>
  <c r="M53" i="4"/>
  <c r="M51" i="4"/>
  <c r="M49" i="4"/>
  <c r="M47" i="4"/>
  <c r="M45" i="4"/>
  <c r="L53" i="4"/>
  <c r="L51" i="4"/>
  <c r="L49" i="4"/>
  <c r="L47" i="4"/>
  <c r="L45" i="4"/>
  <c r="D53" i="4"/>
  <c r="D51" i="4"/>
  <c r="D49" i="4"/>
  <c r="D47" i="4"/>
  <c r="D45" i="4"/>
  <c r="Y17" i="5"/>
  <c r="Y18" i="5"/>
  <c r="Y19" i="5"/>
  <c r="Y20" i="5"/>
  <c r="Y21" i="5"/>
  <c r="AA31" i="5" l="1"/>
  <c r="AB31" i="5"/>
  <c r="AC31" i="5"/>
  <c r="AD31" i="5"/>
  <c r="AE31" i="5"/>
  <c r="AF31" i="5"/>
  <c r="Z31" i="5"/>
  <c r="X38" i="5"/>
  <c r="Y28" i="5"/>
  <c r="Z28" i="5" s="1"/>
  <c r="AA28" i="5" s="1"/>
  <c r="AB28" i="5" s="1"/>
  <c r="AC28" i="5" s="1"/>
  <c r="AD28" i="5" s="1"/>
  <c r="AE28" i="5" s="1"/>
  <c r="AF28" i="5" s="1"/>
  <c r="Y38" i="5"/>
  <c r="Z38" i="5"/>
  <c r="AA38" i="5"/>
  <c r="AB38" i="5"/>
  <c r="AC38" i="5"/>
  <c r="AD38" i="5"/>
  <c r="AE38" i="5"/>
  <c r="AF38" i="5"/>
  <c r="AE30" i="5" l="1"/>
  <c r="AA30" i="5"/>
  <c r="AD30" i="5"/>
  <c r="AF30" i="5"/>
  <c r="AC30" i="5"/>
  <c r="AB30" i="5"/>
  <c r="Y30" i="5"/>
  <c r="Z30" i="5"/>
  <c r="U70" i="4"/>
  <c r="U63" i="4"/>
  <c r="U32" i="4"/>
  <c r="U12" i="4"/>
  <c r="X5" i="4"/>
  <c r="W5" i="4"/>
  <c r="V5" i="4" s="1"/>
  <c r="U5" i="4" s="1"/>
  <c r="V12" i="4"/>
  <c r="W12" i="4"/>
  <c r="X12" i="4"/>
  <c r="Y12" i="4"/>
  <c r="J45" i="4" s="1"/>
  <c r="V32" i="4"/>
  <c r="W32" i="4"/>
  <c r="X32" i="4"/>
  <c r="Y32" i="4"/>
  <c r="J49" i="4" s="1"/>
  <c r="U52" i="4"/>
  <c r="K53" i="4" s="1"/>
  <c r="K45" i="4"/>
  <c r="J47" i="4"/>
  <c r="K47" i="4"/>
  <c r="K49" i="4"/>
  <c r="K51" i="4"/>
  <c r="U16" i="4" l="1"/>
  <c r="X16" i="4"/>
  <c r="X17" i="4" s="1"/>
  <c r="U17" i="4"/>
  <c r="V16" i="4"/>
  <c r="V17" i="4" s="1"/>
  <c r="Y16" i="4"/>
  <c r="W16" i="4"/>
  <c r="W17" i="4" s="1"/>
  <c r="J51" i="4" l="1"/>
  <c r="Y17" i="4"/>
  <c r="J53" i="4" s="1"/>
</calcChain>
</file>

<file path=xl/sharedStrings.xml><?xml version="1.0" encoding="utf-8"?>
<sst xmlns="http://schemas.openxmlformats.org/spreadsheetml/2006/main" count="120" uniqueCount="84">
  <si>
    <t>52-Week Trading</t>
  </si>
  <si>
    <t>Online Stores</t>
  </si>
  <si>
    <t>Physical Stores</t>
  </si>
  <si>
    <t>Subscription Services</t>
  </si>
  <si>
    <t>Total</t>
  </si>
  <si>
    <t>NAMEHERE</t>
  </si>
  <si>
    <t>Net Operating Profit</t>
  </si>
  <si>
    <t>Shareholders' Equity</t>
  </si>
  <si>
    <t>Total Expenses</t>
  </si>
  <si>
    <t>Long-term Liabilities</t>
  </si>
  <si>
    <t>Interest</t>
  </si>
  <si>
    <t>Current Liabilities</t>
  </si>
  <si>
    <t>Depreciation &amp; Amortization</t>
  </si>
  <si>
    <t>Liabilities</t>
  </si>
  <si>
    <t>Rent and Overhead</t>
  </si>
  <si>
    <t>Total Assets</t>
  </si>
  <si>
    <t>Salaries and Benefits</t>
  </si>
  <si>
    <t>Non-current Assets</t>
  </si>
  <si>
    <t>Expenses</t>
  </si>
  <si>
    <t>Current Assets</t>
  </si>
  <si>
    <t>COGS</t>
  </si>
  <si>
    <t>Assets</t>
  </si>
  <si>
    <t>Revenue</t>
  </si>
  <si>
    <t>Profit Margin (%)</t>
  </si>
  <si>
    <t>Profit Margin</t>
  </si>
  <si>
    <t>Var%</t>
  </si>
  <si>
    <t>Variance</t>
  </si>
  <si>
    <t>Actual</t>
  </si>
  <si>
    <t>Trend</t>
  </si>
  <si>
    <t>5-Yr Average</t>
  </si>
  <si>
    <t>Consolidated</t>
  </si>
  <si>
    <t>Business 3</t>
  </si>
  <si>
    <t>Business 2</t>
  </si>
  <si>
    <t>Business 1</t>
  </si>
  <si>
    <t>EBITDA</t>
  </si>
  <si>
    <t>All figures in USD thousands unless stated</t>
  </si>
  <si>
    <t>Business Unit Revenue</t>
  </si>
  <si>
    <t>Balance Sheet</t>
  </si>
  <si>
    <t>Budget</t>
  </si>
  <si>
    <t>Liabilities &amp; Shareholders' Equity</t>
  </si>
  <si>
    <r>
      <rPr>
        <b/>
        <sz val="10"/>
        <color rgb="FF000000"/>
        <rFont val="Open Sans"/>
        <family val="2"/>
      </rPr>
      <t>Cumulative Revenue</t>
    </r>
    <r>
      <rPr>
        <sz val="10"/>
        <color rgb="FF000000"/>
        <rFont val="Open Sans"/>
        <family val="2"/>
      </rPr>
      <t xml:space="preserve"> </t>
    </r>
    <r>
      <rPr>
        <i/>
        <sz val="10"/>
        <color rgb="FF000000"/>
        <rFont val="Open Sans"/>
        <family val="2"/>
      </rPr>
      <t>(Year 0)</t>
    </r>
  </si>
  <si>
    <r>
      <rPr>
        <b/>
        <sz val="10"/>
        <color rgb="FF000000"/>
        <rFont val="Open Sans"/>
        <family val="2"/>
      </rPr>
      <t>Performance Summary</t>
    </r>
    <r>
      <rPr>
        <sz val="10"/>
        <color rgb="FF000000"/>
        <rFont val="Open Sans"/>
        <family val="2"/>
      </rPr>
      <t xml:space="preserve"> </t>
    </r>
    <r>
      <rPr>
        <i/>
        <sz val="10"/>
        <color rgb="FF000000"/>
        <rFont val="Open Sans"/>
        <family val="2"/>
      </rPr>
      <t>(Five-Year)</t>
    </r>
  </si>
  <si>
    <r>
      <rPr>
        <b/>
        <sz val="10"/>
        <color rgb="FF000000"/>
        <rFont val="Open Sans"/>
        <family val="2"/>
      </rPr>
      <t>Income Statement</t>
    </r>
    <r>
      <rPr>
        <sz val="10"/>
        <color rgb="FF000000"/>
        <rFont val="Open Sans"/>
        <family val="2"/>
      </rPr>
      <t xml:space="preserve"> </t>
    </r>
    <r>
      <rPr>
        <i/>
        <sz val="10"/>
        <color rgb="FF000000"/>
        <rFont val="Open Sans"/>
        <family val="2"/>
      </rPr>
      <t>(Year 0)</t>
    </r>
  </si>
  <si>
    <r>
      <rPr>
        <b/>
        <sz val="10"/>
        <color rgb="FF000000"/>
        <rFont val="Open Sans"/>
        <family val="2"/>
      </rPr>
      <t>Balance Sheet Summary</t>
    </r>
    <r>
      <rPr>
        <sz val="10"/>
        <color rgb="FF000000"/>
        <rFont val="Open Sans"/>
        <family val="2"/>
      </rPr>
      <t xml:space="preserve"> </t>
    </r>
    <r>
      <rPr>
        <i/>
        <sz val="10"/>
        <color rgb="FF000000"/>
        <rFont val="Open Sans"/>
        <family val="2"/>
      </rPr>
      <t>(Year 0)</t>
    </r>
  </si>
  <si>
    <r>
      <rPr>
        <b/>
        <sz val="10"/>
        <color rgb="FF000000"/>
        <rFont val="Open Sans"/>
        <family val="2"/>
      </rPr>
      <t>P&amp;L Summary</t>
    </r>
    <r>
      <rPr>
        <sz val="10"/>
        <color rgb="FF000000"/>
        <rFont val="Open Sans"/>
        <family val="2"/>
      </rPr>
      <t xml:space="preserve"> </t>
    </r>
    <r>
      <rPr>
        <i/>
        <sz val="10"/>
        <color rgb="FF000000"/>
        <rFont val="Open Sans"/>
        <family val="2"/>
      </rPr>
      <t>(Year 0)</t>
    </r>
  </si>
  <si>
    <r>
      <rPr>
        <b/>
        <sz val="14"/>
        <color rgb="FF3271D2"/>
        <rFont val="Open Sans"/>
        <family val="2"/>
      </rPr>
      <t>Raw Data</t>
    </r>
    <r>
      <rPr>
        <sz val="14"/>
        <color rgb="FF3271D2"/>
        <rFont val="Open Sans"/>
        <family val="2"/>
      </rPr>
      <t xml:space="preserve"> </t>
    </r>
    <r>
      <rPr>
        <i/>
        <sz val="14"/>
        <color rgb="FF3271D2"/>
        <rFont val="Open Sans"/>
        <family val="2"/>
      </rPr>
      <t>(Year 0)</t>
    </r>
  </si>
  <si>
    <r>
      <rPr>
        <b/>
        <sz val="14"/>
        <color rgb="FF3271D2"/>
        <rFont val="Open Sans"/>
        <family val="2"/>
      </rPr>
      <t>Raw Data</t>
    </r>
    <r>
      <rPr>
        <sz val="14"/>
        <color rgb="FF3271D2"/>
        <rFont val="Open Sans"/>
        <family val="2"/>
      </rPr>
      <t xml:space="preserve"> </t>
    </r>
    <r>
      <rPr>
        <i/>
        <sz val="14"/>
        <color rgb="FF3271D2"/>
        <rFont val="Open Sans"/>
        <family val="2"/>
      </rPr>
      <t>(Multi-Year)</t>
    </r>
  </si>
  <si>
    <t>Total Revenue</t>
  </si>
  <si>
    <r>
      <rPr>
        <b/>
        <sz val="10"/>
        <color rgb="FF000000"/>
        <rFont val="Open Sans"/>
        <family val="2"/>
      </rPr>
      <t xml:space="preserve">Total Revenue </t>
    </r>
    <r>
      <rPr>
        <i/>
        <sz val="10"/>
        <color rgb="FF000000"/>
        <rFont val="Open Sans"/>
        <family val="2"/>
      </rPr>
      <t>(US$ Millions)</t>
    </r>
  </si>
  <si>
    <t>Low</t>
  </si>
  <si>
    <t>High</t>
  </si>
  <si>
    <t>Delta</t>
  </si>
  <si>
    <t>Consensus Research</t>
  </si>
  <si>
    <t>Trailing 52-Week Stock Chart</t>
  </si>
  <si>
    <t>Date</t>
  </si>
  <si>
    <t>All figures in USD unless stated</t>
  </si>
  <si>
    <t>Stock Price Chart</t>
  </si>
  <si>
    <t>Retail Services</t>
  </si>
  <si>
    <t xml:space="preserve">FCFF is Free Cash Flow to Firm. </t>
  </si>
  <si>
    <t>FCFF</t>
  </si>
  <si>
    <r>
      <rPr>
        <b/>
        <sz val="10"/>
        <color rgb="FF000000"/>
        <rFont val="Open Sans"/>
        <family val="2"/>
      </rPr>
      <t xml:space="preserve">Other Financial Metrics </t>
    </r>
    <r>
      <rPr>
        <i/>
        <sz val="10"/>
        <color rgb="FF000000"/>
        <rFont val="Open Sans"/>
        <family val="2"/>
      </rPr>
      <t>(US$ Millions)</t>
    </r>
  </si>
  <si>
    <t>All figures in USD millions unless stated</t>
  </si>
  <si>
    <t>Sum-of-the-Parts</t>
  </si>
  <si>
    <t>Discounted Cash Flow</t>
  </si>
  <si>
    <t>Valuation Summary: Football Field Chart</t>
  </si>
  <si>
    <t>Stock Chart: Trailing 52-Weeks</t>
  </si>
  <si>
    <t>Precedent Trans.</t>
  </si>
  <si>
    <t>Net Income</t>
  </si>
  <si>
    <t xml:space="preserve">Data: Football Field Chart </t>
  </si>
  <si>
    <t>Data: Financial</t>
  </si>
  <si>
    <t>Data: Company Overview</t>
  </si>
  <si>
    <t>BUY</t>
  </si>
  <si>
    <t>Company Information</t>
  </si>
  <si>
    <t xml:space="preserve">EBITDA is Earnings Before Interest, Taxes, Depreciation &amp; Amortization. </t>
  </si>
  <si>
    <t>Revenue Growth (%)</t>
  </si>
  <si>
    <t>EBITDA Growth (%)</t>
  </si>
  <si>
    <t>Historic Business Performance</t>
  </si>
  <si>
    <t>Projected Business Performance</t>
  </si>
  <si>
    <t xml:space="preserve"> </t>
  </si>
  <si>
    <t>Price</t>
  </si>
  <si>
    <t>Profit Margin ($)</t>
  </si>
  <si>
    <t xml:space="preserve">Company Name: </t>
  </si>
  <si>
    <t xml:space="preserve">Recommendation: </t>
  </si>
  <si>
    <t xml:space="preserve">Target Price: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</si>
</sst>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5" formatCode="&quot;$&quot;#,##0;\-&quot;$&quot;#,##0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(* #,##0_);_(* \(#,##0\);_(* &quot;-&quot;??_);_(@_)"/>
    <numFmt numFmtId="168" formatCode="0.0%"/>
    <numFmt numFmtId="169" formatCode="0&quot;A&quot;"/>
    <numFmt numFmtId="170" formatCode="_(&quot;$&quot;* #,##0_);_(&quot;$&quot;* \(#,##0\);_(&quot;$&quot;* &quot;-&quot;??_);_(@_)"/>
    <numFmt numFmtId="171" formatCode="_(#,##0_);\(#,##0\);_(&quot;–&quot;_);_(@_)"/>
    <numFmt numFmtId="172" formatCode="_(#,##0%_);\(#,##0%\);_(&quot;–&quot;_);_(@_)"/>
    <numFmt numFmtId="173" formatCode="&quot;Year &quot;0_);&quot;Year &quot;\-0_)"/>
    <numFmt numFmtId="174" formatCode="@\⁽\¹\⁾"/>
    <numFmt numFmtId="175" formatCode="@\⁽\²\⁾"/>
    <numFmt numFmtId="176" formatCode="_-* #,##0_-;\(#,##0\)_-;_-* &quot;-&quot;_-;_-@_-"/>
    <numFmt numFmtId="177" formatCode="_(#,##0.0%_);\(#,##0.0%\);_(&quot;–&quot;_);_(@_)"/>
    <numFmt numFmtId="178" formatCode="mmm\ d"/>
    <numFmt numFmtId="186" formatCode="\⬆\️_(#,##0.0%_);\⬇\️\(#,##0.0%\);_(&quot;–&quot;_);_(@_)"/>
  </numFmts>
  <fonts count="37" x14ac:knownFonts="1">
    <font>
      <sz val="11"/>
      <color theme="1"/>
      <name val="Arial Narrow"/>
      <family val="2"/>
    </font>
    <font>
      <sz val="10"/>
      <color theme="1"/>
      <name val="Open Sans"/>
      <family val="2"/>
    </font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1"/>
      <color theme="1"/>
      <name val="Open Sans"/>
      <family val="2"/>
    </font>
    <font>
      <sz val="11"/>
      <name val="Open Sans"/>
      <family val="2"/>
    </font>
    <font>
      <sz val="10"/>
      <name val="Open Sans"/>
      <family val="2"/>
    </font>
    <font>
      <sz val="9"/>
      <name val="Open Sans"/>
      <family val="2"/>
    </font>
    <font>
      <b/>
      <sz val="10"/>
      <color theme="0"/>
      <name val="Open Sans"/>
      <family val="2"/>
    </font>
    <font>
      <b/>
      <sz val="10"/>
      <color theme="1"/>
      <name val="Open Sans"/>
      <family val="2"/>
    </font>
    <font>
      <b/>
      <sz val="14"/>
      <color rgb="FF3271D2"/>
      <name val="Open Sans"/>
      <family val="2"/>
    </font>
    <font>
      <sz val="14"/>
      <color theme="1"/>
      <name val="Open Sans"/>
      <family val="2"/>
    </font>
    <font>
      <b/>
      <sz val="11"/>
      <color rgb="FF000000"/>
      <name val="Open Sans"/>
      <family val="2"/>
    </font>
    <font>
      <u/>
      <sz val="10"/>
      <color theme="10"/>
      <name val="Arial"/>
      <family val="2"/>
    </font>
    <font>
      <b/>
      <sz val="16"/>
      <color theme="0"/>
      <name val="Open Sans"/>
      <family val="2"/>
    </font>
    <font>
      <sz val="10"/>
      <name val="Arial"/>
      <family val="2"/>
    </font>
    <font>
      <i/>
      <sz val="9"/>
      <name val="Open Sans"/>
      <family val="2"/>
    </font>
    <font>
      <sz val="10"/>
      <color rgb="FF000000"/>
      <name val="Open Sans"/>
      <family val="2"/>
    </font>
    <font>
      <sz val="10"/>
      <color rgb="FF3271D2"/>
      <name val="Open Sans"/>
      <family val="2"/>
    </font>
    <font>
      <b/>
      <sz val="10"/>
      <color rgb="FF000000"/>
      <name val="Open Sans"/>
      <family val="2"/>
    </font>
    <font>
      <sz val="10"/>
      <color rgb="FF0000FF"/>
      <name val="Open Sans"/>
      <family val="2"/>
    </font>
    <font>
      <b/>
      <sz val="10"/>
      <color rgb="FF3271D2"/>
      <name val="Open Sans"/>
      <family val="2"/>
    </font>
    <font>
      <sz val="12"/>
      <color theme="1"/>
      <name val="Open Sans"/>
      <family val="2"/>
    </font>
    <font>
      <b/>
      <sz val="12"/>
      <color theme="1"/>
      <name val="Open Sans"/>
      <family val="2"/>
    </font>
    <font>
      <b/>
      <sz val="12"/>
      <color theme="0"/>
      <name val="Open Sans"/>
      <family val="2"/>
    </font>
    <font>
      <sz val="12"/>
      <color theme="0"/>
      <name val="Open Sans"/>
      <family val="2"/>
    </font>
    <font>
      <sz val="12"/>
      <color theme="0" tint="-0.499984740745262"/>
      <name val="Open Sans"/>
      <family val="2"/>
    </font>
    <font>
      <sz val="12"/>
      <color theme="1" tint="0.499984740745262"/>
      <name val="Open Sans"/>
      <family val="2"/>
    </font>
    <font>
      <i/>
      <sz val="10"/>
      <color theme="1"/>
      <name val="Open Sans"/>
      <family val="2"/>
    </font>
    <font>
      <sz val="12"/>
      <color rgb="FF000000"/>
      <name val="Open Sans"/>
      <family val="2"/>
    </font>
    <font>
      <i/>
      <sz val="10"/>
      <color rgb="FF000000"/>
      <name val="Open Sans"/>
      <family val="2"/>
    </font>
    <font>
      <b/>
      <sz val="12"/>
      <color rgb="FF000000"/>
      <name val="Open Sans"/>
      <family val="2"/>
    </font>
    <font>
      <sz val="14"/>
      <color rgb="FF3271D2"/>
      <name val="Open Sans"/>
      <family val="2"/>
    </font>
    <font>
      <i/>
      <sz val="14"/>
      <color rgb="FF3271D2"/>
      <name val="Open Sans"/>
      <family val="2"/>
    </font>
    <font>
      <sz val="10"/>
      <name val="Arial Narrow"/>
      <family val="2"/>
    </font>
    <font>
      <sz val="10"/>
      <color rgb="FF0000FF"/>
      <name val="Arial Narrow"/>
      <family val="2"/>
    </font>
    <font>
      <sz val="8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000C3F"/>
        <bgColor indexed="64"/>
      </patternFill>
    </fill>
    <fill>
      <patternFill patternType="solid">
        <fgColor rgb="FF000C3F"/>
        <bgColor rgb="FF000000"/>
      </patternFill>
    </fill>
    <fill>
      <patternFill patternType="solid">
        <fgColor rgb="FFE7F2FF"/>
        <bgColor rgb="FF000000"/>
      </patternFill>
    </fill>
    <fill>
      <patternFill patternType="solid">
        <fgColor rgb="FFF6F6F6"/>
        <bgColor rgb="FF000000"/>
      </patternFill>
    </fill>
    <fill>
      <patternFill patternType="solid">
        <fgColor rgb="FFF6F6F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/>
      <bottom style="thin">
        <color rgb="FF3271D2"/>
      </bottom>
      <diagonal/>
    </border>
    <border>
      <left/>
      <right/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/>
      <right/>
      <top/>
      <bottom style="medium">
        <color rgb="FF3271D2"/>
      </bottom>
      <diagonal/>
    </border>
    <border>
      <left/>
      <right/>
      <top style="thin">
        <color rgb="FF3271D2"/>
      </top>
      <bottom style="medium">
        <color rgb="FF3271D2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3271D2"/>
      </top>
      <bottom/>
      <diagonal/>
    </border>
  </borders>
  <cellStyleXfs count="12">
    <xf numFmtId="0" fontId="0" fillId="0" borderId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5" fillId="0" borderId="0"/>
    <xf numFmtId="0" fontId="2" fillId="0" borderId="0" applyFont="0" applyFill="0" applyBorder="0" applyAlignment="0" applyProtection="0"/>
    <xf numFmtId="0" fontId="15" fillId="0" borderId="0">
      <alignment vertical="center"/>
    </xf>
    <xf numFmtId="165" fontId="3" fillId="0" borderId="0" applyFont="0" applyFill="0" applyBorder="0" applyAlignment="0" applyProtection="0"/>
    <xf numFmtId="0" fontId="15" fillId="0" borderId="0"/>
  </cellStyleXfs>
  <cellXfs count="146">
    <xf numFmtId="0" fontId="0" fillId="0" borderId="0" xfId="0"/>
    <xf numFmtId="0" fontId="4" fillId="0" borderId="0" xfId="3" applyFont="1"/>
    <xf numFmtId="0" fontId="4" fillId="0" borderId="0" xfId="3" applyFont="1" applyAlignment="1">
      <alignment horizontal="centerContinuous"/>
    </xf>
    <xf numFmtId="0" fontId="4" fillId="0" borderId="0" xfId="3" applyFont="1" applyAlignment="1">
      <alignment horizontal="center"/>
    </xf>
    <xf numFmtId="0" fontId="5" fillId="0" borderId="0" xfId="3" applyFont="1"/>
    <xf numFmtId="0" fontId="6" fillId="0" borderId="0" xfId="3" applyFont="1" applyAlignment="1">
      <alignment horizontal="left"/>
    </xf>
    <xf numFmtId="0" fontId="6" fillId="0" borderId="0" xfId="3" applyFont="1"/>
    <xf numFmtId="0" fontId="4" fillId="0" borderId="0" xfId="3" applyFont="1" applyAlignment="1">
      <alignment horizontal="left" indent="1"/>
    </xf>
    <xf numFmtId="37" fontId="10" fillId="4" borderId="0" xfId="0" applyNumberFormat="1" applyFont="1" applyFill="1" applyAlignment="1">
      <alignment vertical="center"/>
    </xf>
    <xf numFmtId="37" fontId="11" fillId="4" borderId="0" xfId="0" applyNumberFormat="1" applyFont="1" applyFill="1" applyAlignment="1">
      <alignment vertical="center"/>
    </xf>
    <xf numFmtId="37" fontId="1" fillId="4" borderId="0" xfId="0" applyNumberFormat="1" applyFont="1" applyFill="1" applyAlignment="1">
      <alignment horizontal="center" vertical="center"/>
    </xf>
    <xf numFmtId="37" fontId="1" fillId="4" borderId="0" xfId="0" applyNumberFormat="1" applyFont="1" applyFill="1" applyAlignment="1">
      <alignment vertical="center"/>
    </xf>
    <xf numFmtId="169" fontId="8" fillId="4" borderId="0" xfId="0" applyNumberFormat="1" applyFont="1" applyFill="1" applyAlignment="1">
      <alignment horizontal="right"/>
    </xf>
    <xf numFmtId="0" fontId="12" fillId="0" borderId="2" xfId="3" applyFont="1" applyBorder="1" applyAlignment="1">
      <alignment horizontal="centerContinuous" vertical="center"/>
    </xf>
    <xf numFmtId="0" fontId="4" fillId="0" borderId="1" xfId="3" applyFont="1" applyBorder="1"/>
    <xf numFmtId="0" fontId="5" fillId="2" borderId="0" xfId="3" applyFont="1" applyFill="1"/>
    <xf numFmtId="0" fontId="14" fillId="3" borderId="0" xfId="6" applyFont="1" applyFill="1" applyAlignment="1">
      <alignment horizontal="center" vertical="center"/>
    </xf>
    <xf numFmtId="0" fontId="5" fillId="3" borderId="0" xfId="3" applyFont="1" applyFill="1"/>
    <xf numFmtId="37" fontId="11" fillId="0" borderId="0" xfId="3" applyNumberFormat="1" applyFont="1" applyAlignment="1">
      <alignment vertical="center"/>
    </xf>
    <xf numFmtId="173" fontId="19" fillId="0" borderId="5" xfId="3" applyNumberFormat="1" applyFont="1" applyBorder="1" applyAlignment="1">
      <alignment horizontal="right" vertical="center"/>
    </xf>
    <xf numFmtId="173" fontId="19" fillId="0" borderId="6" xfId="3" applyNumberFormat="1" applyFont="1" applyBorder="1" applyAlignment="1">
      <alignment horizontal="right" vertical="center"/>
    </xf>
    <xf numFmtId="176" fontId="1" fillId="0" borderId="0" xfId="8" applyNumberFormat="1" applyFont="1" applyAlignment="1" applyProtection="1">
      <alignment horizontal="center"/>
      <protection locked="0"/>
    </xf>
    <xf numFmtId="176" fontId="1" fillId="0" borderId="0" xfId="8" applyNumberFormat="1" applyFont="1" applyProtection="1">
      <protection locked="0"/>
    </xf>
    <xf numFmtId="37" fontId="10" fillId="0" borderId="0" xfId="0" applyNumberFormat="1" applyFont="1" applyAlignment="1">
      <alignment vertical="center"/>
    </xf>
    <xf numFmtId="37" fontId="11" fillId="0" borderId="0" xfId="0" applyNumberFormat="1" applyFont="1" applyAlignment="1">
      <alignment vertical="center"/>
    </xf>
    <xf numFmtId="37" fontId="1" fillId="0" borderId="0" xfId="0" applyNumberFormat="1" applyFont="1" applyAlignment="1">
      <alignment horizontal="center" vertical="center"/>
    </xf>
    <xf numFmtId="37" fontId="1" fillId="0" borderId="0" xfId="0" applyNumberFormat="1" applyFont="1" applyAlignment="1">
      <alignment vertical="center"/>
    </xf>
    <xf numFmtId="169" fontId="8" fillId="0" borderId="0" xfId="0" applyNumberFormat="1" applyFont="1" applyAlignment="1">
      <alignment horizontal="right"/>
    </xf>
    <xf numFmtId="0" fontId="16" fillId="0" borderId="0" xfId="3" applyFont="1" applyAlignment="1">
      <alignment horizontal="left" vertical="center"/>
    </xf>
    <xf numFmtId="0" fontId="16" fillId="0" borderId="0" xfId="3" applyFont="1" applyAlignment="1">
      <alignment horizontal="right" vertical="center"/>
    </xf>
    <xf numFmtId="0" fontId="1" fillId="0" borderId="0" xfId="3" applyFont="1"/>
    <xf numFmtId="0" fontId="9" fillId="0" borderId="0" xfId="3" applyFont="1"/>
    <xf numFmtId="0" fontId="1" fillId="0" borderId="0" xfId="3" applyFont="1" applyAlignment="1">
      <alignment horizontal="left"/>
    </xf>
    <xf numFmtId="37" fontId="1" fillId="0" borderId="0" xfId="3" applyNumberFormat="1" applyFont="1"/>
    <xf numFmtId="0" fontId="1" fillId="0" borderId="0" xfId="3" applyFont="1" applyAlignment="1">
      <alignment horizontal="left" indent="1"/>
    </xf>
    <xf numFmtId="0" fontId="1" fillId="0" borderId="0" xfId="3" applyFont="1" applyAlignment="1">
      <alignment horizontal="left" indent="2"/>
    </xf>
    <xf numFmtId="170" fontId="1" fillId="0" borderId="0" xfId="4" applyNumberFormat="1" applyFont="1"/>
    <xf numFmtId="0" fontId="19" fillId="0" borderId="2" xfId="3" applyFont="1" applyBorder="1" applyAlignment="1">
      <alignment horizontal="centerContinuous" vertical="center"/>
    </xf>
    <xf numFmtId="0" fontId="1" fillId="0" borderId="0" xfId="3" applyFont="1" applyAlignment="1">
      <alignment horizontal="center"/>
    </xf>
    <xf numFmtId="0" fontId="1" fillId="0" borderId="0" xfId="3" applyFont="1" applyAlignment="1">
      <alignment horizontal="centerContinuous"/>
    </xf>
    <xf numFmtId="171" fontId="9" fillId="0" borderId="0" xfId="3" applyNumberFormat="1" applyFont="1" applyAlignment="1">
      <alignment horizontal="right"/>
    </xf>
    <xf numFmtId="171" fontId="1" fillId="0" borderId="0" xfId="3" applyNumberFormat="1" applyFont="1" applyAlignment="1">
      <alignment horizontal="right"/>
    </xf>
    <xf numFmtId="171" fontId="4" fillId="0" borderId="0" xfId="3" applyNumberFormat="1" applyFont="1" applyAlignment="1">
      <alignment horizontal="right"/>
    </xf>
    <xf numFmtId="0" fontId="9" fillId="0" borderId="0" xfId="3" applyFont="1" applyAlignment="1">
      <alignment horizontal="left" indent="1"/>
    </xf>
    <xf numFmtId="0" fontId="9" fillId="0" borderId="0" xfId="3" applyFont="1" applyAlignment="1">
      <alignment horizontal="left" indent="2"/>
    </xf>
    <xf numFmtId="0" fontId="14" fillId="0" borderId="0" xfId="6" applyFont="1" applyFill="1" applyAlignment="1">
      <alignment horizontal="center" vertical="center"/>
    </xf>
    <xf numFmtId="0" fontId="5" fillId="0" borderId="0" xfId="7" applyFont="1" applyAlignment="1">
      <alignment vertical="center"/>
    </xf>
    <xf numFmtId="171" fontId="20" fillId="0" borderId="0" xfId="4" applyNumberFormat="1" applyFont="1" applyFill="1" applyBorder="1" applyAlignment="1">
      <alignment horizontal="right"/>
    </xf>
    <xf numFmtId="171" fontId="20" fillId="0" borderId="0" xfId="4" applyNumberFormat="1" applyFont="1" applyFill="1" applyAlignment="1">
      <alignment horizontal="right"/>
    </xf>
    <xf numFmtId="171" fontId="18" fillId="0" borderId="0" xfId="4" applyNumberFormat="1" applyFont="1" applyFill="1" applyBorder="1" applyAlignment="1">
      <alignment horizontal="right"/>
    </xf>
    <xf numFmtId="171" fontId="18" fillId="0" borderId="0" xfId="4" applyNumberFormat="1" applyFont="1" applyFill="1" applyAlignment="1">
      <alignment horizontal="right"/>
    </xf>
    <xf numFmtId="171" fontId="17" fillId="0" borderId="0" xfId="4" applyNumberFormat="1" applyFont="1" applyFill="1" applyAlignment="1">
      <alignment horizontal="right"/>
    </xf>
    <xf numFmtId="171" fontId="17" fillId="0" borderId="0" xfId="4" applyNumberFormat="1" applyFont="1" applyFill="1" applyBorder="1" applyAlignment="1">
      <alignment horizontal="right"/>
    </xf>
    <xf numFmtId="172" fontId="17" fillId="0" borderId="0" xfId="5" applyNumberFormat="1" applyFont="1" applyFill="1" applyAlignment="1">
      <alignment horizontal="right"/>
    </xf>
    <xf numFmtId="172" fontId="17" fillId="0" borderId="0" xfId="5" applyNumberFormat="1" applyFont="1" applyFill="1" applyBorder="1" applyAlignment="1">
      <alignment horizontal="right"/>
    </xf>
    <xf numFmtId="177" fontId="17" fillId="0" borderId="0" xfId="3" applyNumberFormat="1" applyFont="1" applyAlignment="1">
      <alignment horizontal="center"/>
    </xf>
    <xf numFmtId="0" fontId="9" fillId="0" borderId="0" xfId="3" applyFont="1" applyAlignment="1">
      <alignment horizontal="left"/>
    </xf>
    <xf numFmtId="0" fontId="5" fillId="0" borderId="1" xfId="3" applyFont="1" applyBorder="1"/>
    <xf numFmtId="0" fontId="1" fillId="0" borderId="1" xfId="3" applyFont="1" applyBorder="1"/>
    <xf numFmtId="171" fontId="17" fillId="0" borderId="3" xfId="4" applyNumberFormat="1" applyFont="1" applyFill="1" applyBorder="1" applyAlignment="1">
      <alignment horizontal="right"/>
    </xf>
    <xf numFmtId="171" fontId="17" fillId="0" borderId="3" xfId="4" applyNumberFormat="1" applyFont="1" applyBorder="1" applyAlignment="1">
      <alignment horizontal="right"/>
    </xf>
    <xf numFmtId="171" fontId="17" fillId="0" borderId="7" xfId="4" applyNumberFormat="1" applyFont="1" applyFill="1" applyBorder="1" applyAlignment="1">
      <alignment horizontal="right"/>
    </xf>
    <xf numFmtId="0" fontId="19" fillId="0" borderId="2" xfId="3" applyFont="1" applyBorder="1" applyAlignment="1">
      <alignment horizontal="left" vertical="center"/>
    </xf>
    <xf numFmtId="0" fontId="17" fillId="0" borderId="2" xfId="3" applyFont="1" applyBorder="1" applyAlignment="1">
      <alignment horizontal="centerContinuous" vertical="center"/>
    </xf>
    <xf numFmtId="171" fontId="1" fillId="0" borderId="4" xfId="3" applyNumberFormat="1" applyFont="1" applyBorder="1" applyAlignment="1">
      <alignment horizontal="center"/>
    </xf>
    <xf numFmtId="171" fontId="1" fillId="0" borderId="0" xfId="3" applyNumberFormat="1" applyFont="1" applyAlignment="1">
      <alignment horizontal="center"/>
    </xf>
    <xf numFmtId="171" fontId="17" fillId="0" borderId="4" xfId="3" applyNumberFormat="1" applyFont="1" applyBorder="1" applyAlignment="1">
      <alignment horizontal="center"/>
    </xf>
    <xf numFmtId="171" fontId="17" fillId="0" borderId="0" xfId="3" applyNumberFormat="1" applyFont="1" applyAlignment="1">
      <alignment horizontal="center"/>
    </xf>
    <xf numFmtId="0" fontId="1" fillId="0" borderId="4" xfId="3" applyFont="1" applyBorder="1" applyAlignment="1">
      <alignment horizontal="center"/>
    </xf>
    <xf numFmtId="177" fontId="17" fillId="0" borderId="4" xfId="3" applyNumberFormat="1" applyFont="1" applyBorder="1" applyAlignment="1">
      <alignment horizontal="center"/>
    </xf>
    <xf numFmtId="0" fontId="1" fillId="0" borderId="1" xfId="3" applyFont="1" applyBorder="1" applyAlignment="1">
      <alignment horizontal="center"/>
    </xf>
    <xf numFmtId="177" fontId="1" fillId="0" borderId="0" xfId="3" applyNumberFormat="1" applyFont="1" applyAlignment="1">
      <alignment horizontal="right" vertical="center"/>
    </xf>
    <xf numFmtId="1" fontId="1" fillId="0" borderId="0" xfId="3" applyNumberFormat="1" applyFont="1"/>
    <xf numFmtId="177" fontId="17" fillId="0" borderId="0" xfId="5" applyNumberFormat="1" applyFont="1" applyFill="1" applyAlignment="1">
      <alignment horizontal="right"/>
    </xf>
    <xf numFmtId="0" fontId="22" fillId="0" borderId="0" xfId="0" applyFont="1"/>
    <xf numFmtId="167" fontId="27" fillId="0" borderId="0" xfId="0" applyNumberFormat="1" applyFont="1"/>
    <xf numFmtId="0" fontId="1" fillId="0" borderId="0" xfId="0" applyFont="1"/>
    <xf numFmtId="0" fontId="9" fillId="0" borderId="0" xfId="0" applyFont="1"/>
    <xf numFmtId="5" fontId="9" fillId="0" borderId="0" xfId="0" applyNumberFormat="1" applyFont="1"/>
    <xf numFmtId="0" fontId="28" fillId="0" borderId="0" xfId="0" applyFont="1"/>
    <xf numFmtId="0" fontId="23" fillId="0" borderId="0" xfId="0" applyFont="1"/>
    <xf numFmtId="0" fontId="24" fillId="0" borderId="2" xfId="0" applyFont="1" applyBorder="1" applyAlignment="1">
      <alignment horizontal="left"/>
    </xf>
    <xf numFmtId="0" fontId="12" fillId="0" borderId="2" xfId="3" applyFont="1" applyBorder="1" applyAlignment="1">
      <alignment horizontal="left" vertical="center"/>
    </xf>
    <xf numFmtId="0" fontId="25" fillId="0" borderId="2" xfId="0" applyFont="1" applyBorder="1" applyAlignment="1">
      <alignment horizontal="left"/>
    </xf>
    <xf numFmtId="0" fontId="23" fillId="0" borderId="0" xfId="0" applyFont="1" applyAlignment="1">
      <alignment horizontal="right"/>
    </xf>
    <xf numFmtId="0" fontId="19" fillId="0" borderId="0" xfId="0" applyFont="1"/>
    <xf numFmtId="0" fontId="29" fillId="0" borderId="0" xfId="0" applyFont="1"/>
    <xf numFmtId="0" fontId="19" fillId="0" borderId="2" xfId="0" applyFont="1" applyBorder="1"/>
    <xf numFmtId="0" fontId="29" fillId="0" borderId="2" xfId="0" applyFont="1" applyBorder="1"/>
    <xf numFmtId="0" fontId="31" fillId="0" borderId="0" xfId="0" applyFont="1"/>
    <xf numFmtId="37" fontId="32" fillId="4" borderId="0" xfId="0" applyNumberFormat="1" applyFont="1" applyFill="1" applyAlignment="1">
      <alignment vertical="center"/>
    </xf>
    <xf numFmtId="172" fontId="28" fillId="0" borderId="0" xfId="2" applyNumberFormat="1" applyFont="1" applyBorder="1" applyAlignment="1">
      <alignment horizontal="right"/>
    </xf>
    <xf numFmtId="171" fontId="18" fillId="0" borderId="0" xfId="0" applyNumberFormat="1" applyFont="1" applyAlignment="1">
      <alignment horizontal="right"/>
    </xf>
    <xf numFmtId="0" fontId="1" fillId="0" borderId="0" xfId="0" applyFont="1" applyAlignment="1">
      <alignment horizontal="left" indent="1"/>
    </xf>
    <xf numFmtId="171" fontId="1" fillId="0" borderId="3" xfId="0" applyNumberFormat="1" applyFont="1" applyBorder="1" applyAlignment="1">
      <alignment horizontal="right"/>
    </xf>
    <xf numFmtId="0" fontId="17" fillId="0" borderId="2" xfId="0" applyFont="1" applyBorder="1" applyAlignment="1">
      <alignment vertical="center"/>
    </xf>
    <xf numFmtId="0" fontId="29" fillId="0" borderId="2" xfId="0" applyFont="1" applyBorder="1" applyAlignment="1">
      <alignment vertical="center"/>
    </xf>
    <xf numFmtId="0" fontId="31" fillId="0" borderId="2" xfId="0" applyFont="1" applyBorder="1" applyAlignment="1">
      <alignment vertical="center"/>
    </xf>
    <xf numFmtId="0" fontId="34" fillId="0" borderId="0" xfId="9" applyFont="1">
      <alignment vertical="center"/>
    </xf>
    <xf numFmtId="167" fontId="34" fillId="0" borderId="0" xfId="1" applyNumberFormat="1" applyFont="1" applyAlignment="1">
      <alignment vertical="center"/>
    </xf>
    <xf numFmtId="167" fontId="34" fillId="0" borderId="0" xfId="1" applyNumberFormat="1" applyFont="1" applyFill="1" applyAlignment="1">
      <alignment vertical="center"/>
    </xf>
    <xf numFmtId="167" fontId="35" fillId="0" borderId="0" xfId="1" applyNumberFormat="1" applyFont="1" applyFill="1" applyAlignment="1">
      <alignment vertical="center"/>
    </xf>
    <xf numFmtId="0" fontId="19" fillId="0" borderId="2" xfId="0" applyFont="1" applyBorder="1" applyAlignment="1">
      <alignment vertical="center"/>
    </xf>
    <xf numFmtId="174" fontId="7" fillId="0" borderId="0" xfId="0" quotePrefix="1" applyNumberFormat="1" applyFont="1" applyAlignment="1">
      <alignment horizontal="right"/>
    </xf>
    <xf numFmtId="0" fontId="21" fillId="0" borderId="2" xfId="3" applyFont="1" applyBorder="1" applyAlignment="1">
      <alignment horizontal="left" vertical="center"/>
    </xf>
    <xf numFmtId="0" fontId="4" fillId="0" borderId="2" xfId="3" applyFont="1" applyBorder="1"/>
    <xf numFmtId="0" fontId="17" fillId="0" borderId="0" xfId="0" applyFont="1"/>
    <xf numFmtId="171" fontId="18" fillId="0" borderId="0" xfId="0" applyNumberFormat="1" applyFont="1" applyAlignment="1">
      <alignment horizontal="center"/>
    </xf>
    <xf numFmtId="171" fontId="17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71" fontId="18" fillId="0" borderId="8" xfId="0" applyNumberFormat="1" applyFont="1" applyBorder="1" applyAlignment="1">
      <alignment horizontal="center"/>
    </xf>
    <xf numFmtId="171" fontId="17" fillId="0" borderId="8" xfId="0" applyNumberFormat="1" applyFont="1" applyBorder="1" applyAlignment="1">
      <alignment horizontal="center"/>
    </xf>
    <xf numFmtId="0" fontId="0" fillId="0" borderId="1" xfId="0" applyBorder="1"/>
    <xf numFmtId="171" fontId="18" fillId="0" borderId="0" xfId="0" applyNumberFormat="1" applyFont="1" applyAlignment="1">
      <alignment horizontal="right" vertical="center"/>
    </xf>
    <xf numFmtId="0" fontId="17" fillId="0" borderId="0" xfId="0" applyFont="1" applyAlignment="1">
      <alignment horizontal="left" indent="1"/>
    </xf>
    <xf numFmtId="175" fontId="7" fillId="0" borderId="0" xfId="0" quotePrefix="1" applyNumberFormat="1" applyFont="1" applyAlignment="1">
      <alignment horizontal="right"/>
    </xf>
    <xf numFmtId="0" fontId="19" fillId="0" borderId="0" xfId="9" applyFont="1" applyAlignment="1">
      <alignment horizontal="left" vertical="center" wrapText="1"/>
    </xf>
    <xf numFmtId="0" fontId="19" fillId="0" borderId="0" xfId="9" applyFont="1" applyAlignment="1">
      <alignment horizontal="left" vertical="center"/>
    </xf>
    <xf numFmtId="171" fontId="18" fillId="0" borderId="0" xfId="10" applyNumberFormat="1" applyFont="1" applyFill="1" applyAlignment="1">
      <alignment horizontal="left" vertical="center"/>
    </xf>
    <xf numFmtId="178" fontId="18" fillId="0" borderId="0" xfId="9" applyNumberFormat="1" applyFont="1" applyAlignment="1">
      <alignment horizontal="left" vertical="center"/>
    </xf>
    <xf numFmtId="178" fontId="18" fillId="0" borderId="0" xfId="11" applyNumberFormat="1" applyFont="1" applyAlignment="1">
      <alignment horizontal="left"/>
    </xf>
    <xf numFmtId="172" fontId="5" fillId="0" borderId="0" xfId="3" applyNumberFormat="1" applyFont="1" applyAlignment="1">
      <alignment horizontal="right"/>
    </xf>
    <xf numFmtId="0" fontId="5" fillId="5" borderId="0" xfId="3" applyFont="1" applyFill="1"/>
    <xf numFmtId="0" fontId="22" fillId="5" borderId="0" xfId="0" applyFont="1" applyFill="1"/>
    <xf numFmtId="0" fontId="4" fillId="5" borderId="0" xfId="3" applyFont="1" applyFill="1"/>
    <xf numFmtId="167" fontId="27" fillId="5" borderId="0" xfId="0" applyNumberFormat="1" applyFont="1" applyFill="1"/>
    <xf numFmtId="167" fontId="22" fillId="5" borderId="0" xfId="1" applyNumberFormat="1" applyFont="1" applyFill="1" applyBorder="1"/>
    <xf numFmtId="37" fontId="11" fillId="5" borderId="0" xfId="3" applyNumberFormat="1" applyFont="1" applyFill="1" applyAlignment="1">
      <alignment vertical="center"/>
    </xf>
    <xf numFmtId="37" fontId="22" fillId="5" borderId="0" xfId="0" applyNumberFormat="1" applyFont="1" applyFill="1" applyAlignment="1">
      <alignment vertical="top"/>
    </xf>
    <xf numFmtId="0" fontId="26" fillId="5" borderId="0" xfId="0" applyFont="1" applyFill="1" applyAlignment="1">
      <alignment horizontal="right"/>
    </xf>
    <xf numFmtId="0" fontId="19" fillId="5" borderId="2" xfId="3" applyFont="1" applyFill="1" applyBorder="1" applyAlignment="1">
      <alignment horizontal="left" vertical="center"/>
    </xf>
    <xf numFmtId="0" fontId="4" fillId="5" borderId="0" xfId="3" applyFont="1" applyFill="1" applyAlignment="1">
      <alignment horizontal="centerContinuous"/>
    </xf>
    <xf numFmtId="0" fontId="4" fillId="5" borderId="0" xfId="3" applyFont="1" applyFill="1" applyAlignment="1">
      <alignment horizontal="center" vertical="center"/>
    </xf>
    <xf numFmtId="171" fontId="17" fillId="5" borderId="4" xfId="3" applyNumberFormat="1" applyFont="1" applyFill="1" applyBorder="1" applyAlignment="1">
      <alignment horizontal="center"/>
    </xf>
    <xf numFmtId="0" fontId="1" fillId="5" borderId="0" xfId="3" applyFont="1" applyFill="1" applyAlignment="1">
      <alignment horizontal="center"/>
    </xf>
    <xf numFmtId="177" fontId="17" fillId="5" borderId="4" xfId="5" applyNumberFormat="1" applyFont="1" applyFill="1" applyBorder="1" applyAlignment="1">
      <alignment horizontal="center"/>
    </xf>
    <xf numFmtId="171" fontId="17" fillId="5" borderId="0" xfId="3" applyNumberFormat="1" applyFont="1" applyFill="1" applyAlignment="1">
      <alignment horizontal="center"/>
    </xf>
    <xf numFmtId="0" fontId="6" fillId="0" borderId="1" xfId="3" applyFont="1" applyBorder="1" applyAlignment="1">
      <alignment horizontal="centerContinuous"/>
    </xf>
    <xf numFmtId="0" fontId="1" fillId="5" borderId="0" xfId="3" applyFont="1" applyFill="1"/>
    <xf numFmtId="171" fontId="19" fillId="6" borderId="0" xfId="3" applyNumberFormat="1" applyFont="1" applyFill="1" applyAlignment="1">
      <alignment horizontal="right"/>
    </xf>
    <xf numFmtId="171" fontId="17" fillId="6" borderId="0" xfId="3" applyNumberFormat="1" applyFont="1" applyFill="1" applyAlignment="1">
      <alignment horizontal="right"/>
    </xf>
    <xf numFmtId="171" fontId="17" fillId="6" borderId="3" xfId="3" applyNumberFormat="1" applyFont="1" applyFill="1" applyBorder="1" applyAlignment="1">
      <alignment horizontal="right"/>
    </xf>
    <xf numFmtId="171" fontId="19" fillId="6" borderId="7" xfId="3" applyNumberFormat="1" applyFont="1" applyFill="1" applyBorder="1" applyAlignment="1">
      <alignment horizontal="right"/>
    </xf>
    <xf numFmtId="168" fontId="17" fillId="5" borderId="0" xfId="2" applyNumberFormat="1" applyFont="1" applyFill="1" applyAlignment="1">
      <alignment horizontal="center"/>
    </xf>
    <xf numFmtId="186" fontId="17" fillId="5" borderId="0" xfId="3" applyNumberFormat="1" applyFont="1" applyFill="1" applyAlignment="1">
      <alignment horizontal="right"/>
    </xf>
    <xf numFmtId="0" fontId="34" fillId="0" borderId="0" xfId="9" applyFont="1" applyFill="1">
      <alignment vertical="center"/>
    </xf>
  </cellXfs>
  <cellStyles count="12">
    <cellStyle name="Comma" xfId="1" builtinId="3"/>
    <cellStyle name="Comma 2" xfId="8" xr:uid="{3329C3D9-1C99-49EB-AAE1-F6EB73BB597F}"/>
    <cellStyle name="Currency 2" xfId="4" xr:uid="{D49AD199-930A-463D-90E4-2152F1FDCB76}"/>
    <cellStyle name="Currency 3" xfId="10" xr:uid="{91AC8E2B-1266-45CF-A2C3-94DAFEA39651}"/>
    <cellStyle name="Hyperlink 2 2" xfId="6" xr:uid="{A63F4929-74B3-41D2-9ADF-C314B8C4F383}"/>
    <cellStyle name="Normal" xfId="0" builtinId="0"/>
    <cellStyle name="Normal 2" xfId="3" xr:uid="{464F03A9-9241-4165-8021-301158103665}"/>
    <cellStyle name="Normal 2 2" xfId="7" xr:uid="{1125793B-25FE-48C2-AD10-F8153A287099}"/>
    <cellStyle name="Normal 2 2 3" xfId="9" xr:uid="{63FD7629-7184-4767-888F-152067CD966D}"/>
    <cellStyle name="Normal 9" xfId="11" xr:uid="{093B4948-9B83-4C5E-BFDB-C96DB1869562}"/>
    <cellStyle name="Percent" xfId="2" builtinId="5"/>
    <cellStyle name="Percent 2" xfId="5" xr:uid="{62DAF728-4A5E-46BD-BBAC-A344F22B0C8F}"/>
  </cellStyles>
  <dxfs count="10">
    <dxf>
      <font>
        <strike val="0"/>
        <color rgb="FF3271D2"/>
      </font>
    </dxf>
    <dxf>
      <font>
        <strike val="0"/>
        <color rgb="FFEB6105"/>
      </font>
    </dxf>
    <dxf>
      <font>
        <strike val="0"/>
        <color rgb="FFEB6105"/>
      </font>
    </dxf>
    <dxf>
      <font>
        <strike val="0"/>
        <color rgb="FF3271D2"/>
      </font>
    </dxf>
    <dxf>
      <font>
        <strike val="0"/>
        <color rgb="FF3271D2"/>
      </font>
      <fill>
        <patternFill patternType="none">
          <bgColor auto="1"/>
        </patternFill>
      </fill>
    </dxf>
    <dxf>
      <font>
        <strike val="0"/>
        <color rgb="FFEB6105"/>
      </font>
    </dxf>
    <dxf>
      <font>
        <strike val="0"/>
        <color rgb="FF3271D2"/>
      </font>
      <fill>
        <patternFill patternType="none">
          <bgColor auto="1"/>
        </patternFill>
      </fill>
    </dxf>
    <dxf>
      <font>
        <strike val="0"/>
        <color rgb="FFEB6105"/>
      </font>
    </dxf>
    <dxf>
      <font>
        <strike val="0"/>
        <color rgb="FFEB6105"/>
      </font>
    </dxf>
    <dxf>
      <font>
        <strike val="0"/>
        <color rgb="FF3271D2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D4D4D4"/>
      <color rgb="FF3271D2"/>
      <color rgb="FF1B3E70"/>
      <color rgb="FFA3A3A3"/>
      <color rgb="FFF6F6F6"/>
      <color rgb="FFEB610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4148230207470667E-2"/>
          <c:y val="0.13057122339937555"/>
          <c:w val="0.93170353958505869"/>
          <c:h val="0.7736428026863981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'Dashboard 1'!$P$9</c:f>
              <c:strCache>
                <c:ptCount val="1"/>
                <c:pt idx="0">
                  <c:v>Business 1</c:v>
                </c:pt>
              </c:strCache>
            </c:strRef>
          </c:tx>
          <c:spPr>
            <a:solidFill>
              <a:srgbClr val="F6F6F6"/>
            </a:solidFill>
            <a:ln>
              <a:noFill/>
            </a:ln>
            <a:effectLst/>
          </c:spPr>
          <c:invertIfNegative val="0"/>
          <c:cat>
            <c:numRef>
              <c:f>'Dashboard 1'!$U$5:$Y$5</c:f>
              <c:numCache>
                <c:formatCode>"Year "0_);"Year "\-0_)</c:formatCode>
                <c:ptCount val="5"/>
                <c:pt idx="0">
                  <c:v>-4</c:v>
                </c:pt>
                <c:pt idx="1">
                  <c:v>-3</c:v>
                </c:pt>
                <c:pt idx="2">
                  <c:v>-2</c:v>
                </c:pt>
                <c:pt idx="3">
                  <c:v>-1</c:v>
                </c:pt>
                <c:pt idx="4">
                  <c:v>0</c:v>
                </c:pt>
              </c:numCache>
            </c:numRef>
          </c:cat>
          <c:val>
            <c:numRef>
              <c:f>'Dashboard 1'!$U$9:$Y$9</c:f>
              <c:numCache>
                <c:formatCode>_(#,##0_);\(#,##0\);_("–"_);_(@_)</c:formatCode>
                <c:ptCount val="5"/>
                <c:pt idx="0">
                  <c:v>102007</c:v>
                </c:pt>
                <c:pt idx="1">
                  <c:v>118086</c:v>
                </c:pt>
                <c:pt idx="2">
                  <c:v>131345</c:v>
                </c:pt>
                <c:pt idx="3">
                  <c:v>142341</c:v>
                </c:pt>
                <c:pt idx="4">
                  <c:v>150772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5A-4337-8F29-BF65334730BB}"/>
            </c:ext>
          </c:extLst>
        </c:ser>
        <c:ser>
          <c:idx val="1"/>
          <c:order val="1"/>
          <c:tx>
            <c:strRef>
              <c:f>'Dashboard 1'!$P$10</c:f>
              <c:strCache>
                <c:ptCount val="1"/>
                <c:pt idx="0">
                  <c:v>Business 2</c:v>
                </c:pt>
              </c:strCache>
            </c:strRef>
          </c:tx>
          <c:spPr>
            <a:solidFill>
              <a:srgbClr val="A3A3A3"/>
            </a:solidFill>
            <a:ln>
              <a:noFill/>
            </a:ln>
            <a:effectLst/>
          </c:spPr>
          <c:invertIfNegative val="0"/>
          <c:cat>
            <c:numRef>
              <c:f>'Dashboard 1'!$U$5:$Y$5</c:f>
              <c:numCache>
                <c:formatCode>"Year "0_);"Year "\-0_)</c:formatCode>
                <c:ptCount val="5"/>
                <c:pt idx="0">
                  <c:v>-4</c:v>
                </c:pt>
                <c:pt idx="1">
                  <c:v>-3</c:v>
                </c:pt>
                <c:pt idx="2">
                  <c:v>-2</c:v>
                </c:pt>
                <c:pt idx="3">
                  <c:v>-1</c:v>
                </c:pt>
                <c:pt idx="4">
                  <c:v>0</c:v>
                </c:pt>
              </c:numCache>
            </c:numRef>
          </c:cat>
          <c:val>
            <c:numRef>
              <c:f>'Dashboard 1'!$U$10:$Y$10</c:f>
              <c:numCache>
                <c:formatCode>_(#,##0_);\(#,##0\);_("–"_);_(@_)</c:formatCode>
                <c:ptCount val="5"/>
                <c:pt idx="0">
                  <c:v>156387</c:v>
                </c:pt>
                <c:pt idx="1">
                  <c:v>158882</c:v>
                </c:pt>
                <c:pt idx="2">
                  <c:v>160034</c:v>
                </c:pt>
                <c:pt idx="3">
                  <c:v>174988</c:v>
                </c:pt>
                <c:pt idx="4">
                  <c:v>191520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5A-4337-8F29-BF65334730BB}"/>
            </c:ext>
          </c:extLst>
        </c:ser>
        <c:ser>
          <c:idx val="2"/>
          <c:order val="2"/>
          <c:tx>
            <c:strRef>
              <c:f>'Dashboard 1'!$P$11</c:f>
              <c:strCache>
                <c:ptCount val="1"/>
                <c:pt idx="0">
                  <c:v>Business 3</c:v>
                </c:pt>
              </c:strCache>
            </c:strRef>
          </c:tx>
          <c:spPr>
            <a:solidFill>
              <a:srgbClr val="3271D2"/>
            </a:solidFill>
            <a:ln>
              <a:noFill/>
            </a:ln>
            <a:effectLst/>
          </c:spPr>
          <c:invertIfNegative val="0"/>
          <c:cat>
            <c:numRef>
              <c:f>'Dashboard 1'!$U$5:$Y$5</c:f>
              <c:numCache>
                <c:formatCode>"Year "0_);"Year "\-0_)</c:formatCode>
                <c:ptCount val="5"/>
                <c:pt idx="0">
                  <c:v>-4</c:v>
                </c:pt>
                <c:pt idx="1">
                  <c:v>-3</c:v>
                </c:pt>
                <c:pt idx="2">
                  <c:v>-2</c:v>
                </c:pt>
                <c:pt idx="3">
                  <c:v>-1</c:v>
                </c:pt>
                <c:pt idx="4">
                  <c:v>0</c:v>
                </c:pt>
              </c:numCache>
            </c:numRef>
          </c:cat>
          <c:val>
            <c:numRef>
              <c:f>'Dashboard 1'!$U$11:$Y$11</c:f>
              <c:numCache>
                <c:formatCode>_(#,##0_);\(#,##0\);_("–"_);_(@_)</c:formatCode>
                <c:ptCount val="5"/>
                <c:pt idx="0">
                  <c:v>134622</c:v>
                </c:pt>
                <c:pt idx="1">
                  <c:v>138520</c:v>
                </c:pt>
                <c:pt idx="2">
                  <c:v>143362</c:v>
                </c:pt>
                <c:pt idx="3">
                  <c:v>145897</c:v>
                </c:pt>
                <c:pt idx="4">
                  <c:v>148631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5A-4337-8F29-BF65334730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100"/>
        <c:axId val="627605776"/>
        <c:axId val="627589456"/>
      </c:barChart>
      <c:lineChart>
        <c:grouping val="standard"/>
        <c:varyColors val="0"/>
        <c:ser>
          <c:idx val="3"/>
          <c:order val="3"/>
          <c:tx>
            <c:strRef>
              <c:f>'Dashboard 1'!$P$12</c:f>
              <c:strCache>
                <c:ptCount val="1"/>
                <c:pt idx="0">
                  <c:v>Consolidated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'Dashboard 1'!$U$12:$Y$12</c:f>
              <c:numCache>
                <c:formatCode>_(#,##0_);\(#,##0\);_("–"_);_(@_)</c:formatCode>
                <c:ptCount val="5"/>
                <c:pt idx="0">
                  <c:v>393016</c:v>
                </c:pt>
                <c:pt idx="1">
                  <c:v>415488</c:v>
                </c:pt>
                <c:pt idx="2">
                  <c:v>434741</c:v>
                </c:pt>
                <c:pt idx="3">
                  <c:v>463226</c:v>
                </c:pt>
                <c:pt idx="4">
                  <c:v>490923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E5A-4337-8F29-BF65334730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7605776"/>
        <c:axId val="627589456"/>
      </c:lineChart>
      <c:catAx>
        <c:axId val="627605776"/>
        <c:scaling>
          <c:orientation val="minMax"/>
        </c:scaling>
        <c:delete val="0"/>
        <c:axPos val="b"/>
        <c:numFmt formatCode="&quot;Year &quot;0_);&quot;Year &quot;\-0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589456"/>
        <c:crosses val="autoZero"/>
        <c:auto val="1"/>
        <c:lblAlgn val="ctr"/>
        <c:lblOffset val="100"/>
        <c:noMultiLvlLbl val="0"/>
      </c:catAx>
      <c:valAx>
        <c:axId val="627589456"/>
        <c:scaling>
          <c:orientation val="minMax"/>
        </c:scaling>
        <c:delete val="1"/>
        <c:axPos val="l"/>
        <c:numFmt formatCode="_(#,##0_);\(#,##0\);_(&quot;–&quot;_);_(@_)" sourceLinked="1"/>
        <c:majorTickMark val="out"/>
        <c:minorTickMark val="none"/>
        <c:tickLblPos val="nextTo"/>
        <c:crossAx val="627605776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ayout>
        <c:manualLayout>
          <c:xMode val="edge"/>
          <c:yMode val="edge"/>
          <c:x val="0.10578031517080959"/>
          <c:y val="2.636494775569341E-2"/>
          <c:w val="0.78843912521865134"/>
          <c:h val="8.47463391024039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240459582774343"/>
          <c:y val="4.9971598103869384E-2"/>
          <c:w val="0.79945414882326127"/>
          <c:h val="0.7952373525712658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'Dashboard 1'!$P$16</c:f>
              <c:strCache>
                <c:ptCount val="1"/>
                <c:pt idx="0">
                  <c:v>Profit Margin ($)</c:v>
                </c:pt>
              </c:strCache>
            </c:strRef>
          </c:tx>
          <c:spPr>
            <a:solidFill>
              <a:srgbClr val="3271D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'Dashboard 1'!$U$5:$Y$5</c:f>
              <c:numCache>
                <c:formatCode>"Year "0_);"Year "\-0_)</c:formatCode>
                <c:ptCount val="5"/>
                <c:pt idx="0">
                  <c:v>-4</c:v>
                </c:pt>
                <c:pt idx="1">
                  <c:v>-3</c:v>
                </c:pt>
                <c:pt idx="2">
                  <c:v>-2</c:v>
                </c:pt>
                <c:pt idx="3">
                  <c:v>-1</c:v>
                </c:pt>
                <c:pt idx="4">
                  <c:v>0</c:v>
                </c:pt>
              </c:numCache>
            </c:numRef>
          </c:cat>
          <c:val>
            <c:numRef>
              <c:f>'Dashboard 1'!$U$16:$Y$16</c:f>
              <c:numCache>
                <c:formatCode>_(#,##0_);\(#,##0\);_("–"_);_(@_)</c:formatCode>
                <c:ptCount val="5"/>
                <c:pt idx="0">
                  <c:v>26063</c:v>
                </c:pt>
                <c:pt idx="1">
                  <c:v>34177</c:v>
                </c:pt>
                <c:pt idx="2">
                  <c:v>43380</c:v>
                </c:pt>
                <c:pt idx="3">
                  <c:v>64067.5</c:v>
                </c:pt>
                <c:pt idx="4">
                  <c:v>70080.649999999994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78-495D-BA8B-FBF9C484B9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27"/>
        <c:axId val="1367600320"/>
        <c:axId val="1367598400"/>
      </c:barChart>
      <c:lineChart>
        <c:grouping val="standard"/>
        <c:varyColors val="0"/>
        <c:ser>
          <c:idx val="1"/>
          <c:order val="1"/>
          <c:tx>
            <c:strRef>
              <c:f>'Dashboard 1'!$P$17</c:f>
              <c:strCache>
                <c:ptCount val="1"/>
                <c:pt idx="0">
                  <c:v>Profit Margin (%)</c:v>
                </c:pt>
              </c:strCache>
            </c:strRef>
          </c:tx>
          <c:spPr>
            <a:ln w="28575" cap="rnd">
              <a:solidFill>
                <a:srgbClr val="EB6105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EB6105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'Dashboard 1'!$U$17:$Y$17</c:f>
              <c:numCache>
                <c:formatCode>_(#,##0%_);\(#,##0%\);_("–"_);_(@_)</c:formatCode>
                <c:ptCount val="5"/>
                <c:pt idx="0">
                  <c:v>6.6315366295519776E-2</c:v>
                </c:pt>
                <c:pt idx="1">
                  <c:v>8.2257489987677138E-2</c:v>
                </c:pt>
                <c:pt idx="2">
                  <c:v>9.9783549285666642E-2</c:v>
                </c:pt>
                <c:pt idx="3">
                  <c:v>0.1383072193702426</c:v>
                </c:pt>
                <c:pt idx="4">
                  <c:v>0.14275283496597224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78-495D-BA8B-FBF9C484B9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7599360"/>
        <c:axId val="1367600800"/>
      </c:lineChart>
      <c:catAx>
        <c:axId val="1367600320"/>
        <c:scaling>
          <c:orientation val="minMax"/>
        </c:scaling>
        <c:delete val="0"/>
        <c:axPos val="b"/>
        <c:numFmt formatCode="&quot;Year &quot;0_);&quot;Year &quot;\-0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7598400"/>
        <c:crosses val="autoZero"/>
        <c:auto val="1"/>
        <c:lblAlgn val="ctr"/>
        <c:lblOffset val="100"/>
        <c:noMultiLvlLbl val="0"/>
      </c:catAx>
      <c:valAx>
        <c:axId val="1367598400"/>
        <c:scaling>
          <c:orientation val="minMax"/>
        </c:scaling>
        <c:delete val="0"/>
        <c:axPos val="l"/>
        <c:numFmt formatCode="_(#,##0_);\(#,##0\);_(&quot;–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7600320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valAx>
        <c:axId val="1367600800"/>
        <c:scaling>
          <c:orientation val="minMax"/>
          <c:max val="0.5"/>
        </c:scaling>
        <c:delete val="0"/>
        <c:axPos val="r"/>
        <c:numFmt formatCode="_(#,##0%_);\(#,##0%\);_(&quot;–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7599360"/>
        <c:crosses val="max"/>
        <c:crossBetween val="between"/>
      </c:valAx>
      <c:catAx>
        <c:axId val="1367599360"/>
        <c:scaling>
          <c:orientation val="minMax"/>
        </c:scaling>
        <c:delete val="1"/>
        <c:axPos val="b"/>
        <c:majorTickMark val="none"/>
        <c:minorTickMark val="none"/>
        <c:tickLblPos val="nextTo"/>
        <c:crossAx val="136760080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7384198379477898"/>
          <c:y val="3.535821444361615E-2"/>
          <c:w val="0.57104721932772973"/>
          <c:h val="7.66615109236411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8570821993503172E-2"/>
          <c:y val="5.1192544430694563E-2"/>
          <c:w val="0.85392672139482495"/>
          <c:h val="0.83211923575430946"/>
        </c:manualLayout>
      </c:layout>
      <c:areaChart>
        <c:grouping val="stacked"/>
        <c:varyColors val="0"/>
        <c:ser>
          <c:idx val="0"/>
          <c:order val="0"/>
          <c:tx>
            <c:strRef>
              <c:f>'Dashboard 1'!$P$28</c:f>
              <c:strCache>
                <c:ptCount val="1"/>
                <c:pt idx="0">
                  <c:v>Salaries and Benefits</c:v>
                </c:pt>
              </c:strCache>
            </c:strRef>
          </c:tx>
          <c:spPr>
            <a:solidFill>
              <a:srgbClr val="F6F6F6"/>
            </a:solidFill>
            <a:ln>
              <a:noFill/>
            </a:ln>
            <a:effectLst/>
          </c:spPr>
          <c:cat>
            <c:numRef>
              <c:f>'Dashboard 1'!$U$5:$Y$5</c:f>
              <c:numCache>
                <c:formatCode>"Year "0_);"Year "\-0_)</c:formatCode>
                <c:ptCount val="5"/>
                <c:pt idx="0">
                  <c:v>-4</c:v>
                </c:pt>
                <c:pt idx="1">
                  <c:v>-3</c:v>
                </c:pt>
                <c:pt idx="2">
                  <c:v>-2</c:v>
                </c:pt>
                <c:pt idx="3">
                  <c:v>-1</c:v>
                </c:pt>
                <c:pt idx="4">
                  <c:v>0</c:v>
                </c:pt>
              </c:numCache>
            </c:numRef>
          </c:cat>
          <c:val>
            <c:numRef>
              <c:f>'Dashboard 1'!$U$28:$Y$28</c:f>
              <c:numCache>
                <c:formatCode>_(#,##0_);\(#,##0\);_("–"_);_(@_)</c:formatCode>
                <c:ptCount val="5"/>
                <c:pt idx="0">
                  <c:v>70854</c:v>
                </c:pt>
                <c:pt idx="1">
                  <c:v>77974</c:v>
                </c:pt>
                <c:pt idx="2">
                  <c:v>81616</c:v>
                </c:pt>
                <c:pt idx="3">
                  <c:v>79006</c:v>
                </c:pt>
                <c:pt idx="4">
                  <c:v>85735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D3-4D6F-A92D-4912E0221125}"/>
            </c:ext>
          </c:extLst>
        </c:ser>
        <c:ser>
          <c:idx val="1"/>
          <c:order val="1"/>
          <c:tx>
            <c:strRef>
              <c:f>'Dashboard 1'!$P$29</c:f>
              <c:strCache>
                <c:ptCount val="1"/>
                <c:pt idx="0">
                  <c:v>Rent and Overhead</c:v>
                </c:pt>
              </c:strCache>
            </c:strRef>
          </c:tx>
          <c:spPr>
            <a:solidFill>
              <a:srgbClr val="A3A3A3"/>
            </a:solidFill>
            <a:ln>
              <a:solidFill>
                <a:srgbClr val="A3A3A3"/>
              </a:solidFill>
            </a:ln>
            <a:effectLst/>
          </c:spPr>
          <c:cat>
            <c:numRef>
              <c:f>'Dashboard 1'!$U$5:$Y$5</c:f>
              <c:numCache>
                <c:formatCode>"Year "0_);"Year "\-0_)</c:formatCode>
                <c:ptCount val="5"/>
                <c:pt idx="0">
                  <c:v>-4</c:v>
                </c:pt>
                <c:pt idx="1">
                  <c:v>-3</c:v>
                </c:pt>
                <c:pt idx="2">
                  <c:v>-2</c:v>
                </c:pt>
                <c:pt idx="3">
                  <c:v>-1</c:v>
                </c:pt>
                <c:pt idx="4">
                  <c:v>0</c:v>
                </c:pt>
              </c:numCache>
            </c:numRef>
          </c:cat>
          <c:val>
            <c:numRef>
              <c:f>'Dashboard 1'!$U$29:$Y$29</c:f>
              <c:numCache>
                <c:formatCode>_(#,##0_);\(#,##0\);_("–"_);_(@_)</c:formatCode>
                <c:ptCount val="5"/>
                <c:pt idx="0">
                  <c:v>32789</c:v>
                </c:pt>
                <c:pt idx="1">
                  <c:v>35375</c:v>
                </c:pt>
                <c:pt idx="2">
                  <c:v>35261</c:v>
                </c:pt>
                <c:pt idx="3">
                  <c:v>38060</c:v>
                </c:pt>
                <c:pt idx="4">
                  <c:v>39236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D3-4D6F-A92D-4912E0221125}"/>
            </c:ext>
          </c:extLst>
        </c:ser>
        <c:ser>
          <c:idx val="2"/>
          <c:order val="2"/>
          <c:tx>
            <c:strRef>
              <c:f>'Dashboard 1'!$P$30</c:f>
              <c:strCache>
                <c:ptCount val="1"/>
                <c:pt idx="0">
                  <c:v>Depreciation &amp; Amortization</c:v>
                </c:pt>
              </c:strCache>
            </c:strRef>
          </c:tx>
          <c:spPr>
            <a:solidFill>
              <a:srgbClr val="3271D2"/>
            </a:solidFill>
            <a:ln>
              <a:noFill/>
            </a:ln>
            <a:effectLst/>
          </c:spPr>
          <c:cat>
            <c:numRef>
              <c:f>'Dashboard 1'!$U$5:$Y$5</c:f>
              <c:numCache>
                <c:formatCode>"Year "0_);"Year "\-0_)</c:formatCode>
                <c:ptCount val="5"/>
                <c:pt idx="0">
                  <c:v>-4</c:v>
                </c:pt>
                <c:pt idx="1">
                  <c:v>-3</c:v>
                </c:pt>
                <c:pt idx="2">
                  <c:v>-2</c:v>
                </c:pt>
                <c:pt idx="3">
                  <c:v>-1</c:v>
                </c:pt>
                <c:pt idx="4">
                  <c:v>0</c:v>
                </c:pt>
              </c:numCache>
            </c:numRef>
          </c:cat>
          <c:val>
            <c:numRef>
              <c:f>'Dashboard 1'!$U$30:$Y$30</c:f>
              <c:numCache>
                <c:formatCode>_(#,##0_);\(#,##0\);_("–"_);_(@_)</c:formatCode>
                <c:ptCount val="5"/>
                <c:pt idx="0">
                  <c:v>48741</c:v>
                </c:pt>
                <c:pt idx="1">
                  <c:v>54450</c:v>
                </c:pt>
                <c:pt idx="2">
                  <c:v>51615</c:v>
                </c:pt>
                <c:pt idx="3">
                  <c:v>49630.5</c:v>
                </c:pt>
                <c:pt idx="4">
                  <c:v>48241.35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D3-4D6F-A92D-4912E0221125}"/>
            </c:ext>
          </c:extLst>
        </c:ser>
        <c:ser>
          <c:idx val="3"/>
          <c:order val="3"/>
          <c:tx>
            <c:strRef>
              <c:f>'Dashboard 1'!$P$31</c:f>
              <c:strCache>
                <c:ptCount val="1"/>
                <c:pt idx="0">
                  <c:v>Interest</c:v>
                </c:pt>
              </c:strCache>
            </c:strRef>
          </c:tx>
          <c:spPr>
            <a:solidFill>
              <a:srgbClr val="1B3E70"/>
            </a:solidFill>
            <a:ln>
              <a:noFill/>
            </a:ln>
            <a:effectLst/>
          </c:spPr>
          <c:cat>
            <c:numRef>
              <c:f>'Dashboard 1'!$U$5:$Y$5</c:f>
              <c:numCache>
                <c:formatCode>"Year "0_);"Year "\-0_)</c:formatCode>
                <c:ptCount val="5"/>
                <c:pt idx="0">
                  <c:v>-4</c:v>
                </c:pt>
                <c:pt idx="1">
                  <c:v>-3</c:v>
                </c:pt>
                <c:pt idx="2">
                  <c:v>-2</c:v>
                </c:pt>
                <c:pt idx="3">
                  <c:v>-1</c:v>
                </c:pt>
                <c:pt idx="4">
                  <c:v>0</c:v>
                </c:pt>
              </c:numCache>
            </c:numRef>
          </c:cat>
          <c:val>
            <c:numRef>
              <c:f>'Dashboard 1'!$U$31:$Y$31</c:f>
              <c:numCache>
                <c:formatCode>_(#,##0_);\(#,##0\);_("–"_);_(@_)</c:formatCode>
                <c:ptCount val="5"/>
                <c:pt idx="0">
                  <c:v>7500</c:v>
                </c:pt>
                <c:pt idx="1">
                  <c:v>7500</c:v>
                </c:pt>
                <c:pt idx="2">
                  <c:v>4500</c:v>
                </c:pt>
                <c:pt idx="3">
                  <c:v>4500</c:v>
                </c:pt>
                <c:pt idx="4">
                  <c:v>4500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9D3-4D6F-A92D-4912E02211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2154992"/>
        <c:axId val="1032147792"/>
      </c:areaChart>
      <c:catAx>
        <c:axId val="1032154992"/>
        <c:scaling>
          <c:orientation val="minMax"/>
        </c:scaling>
        <c:delete val="0"/>
        <c:axPos val="b"/>
        <c:numFmt formatCode="&quot;Year &quot;0_);&quot;Year &quot;\-0_)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147792"/>
        <c:crosses val="autoZero"/>
        <c:auto val="1"/>
        <c:lblAlgn val="ctr"/>
        <c:lblOffset val="100"/>
        <c:noMultiLvlLbl val="0"/>
      </c:catAx>
      <c:valAx>
        <c:axId val="1032147792"/>
        <c:scaling>
          <c:orientation val="minMax"/>
        </c:scaling>
        <c:delete val="0"/>
        <c:axPos val="l"/>
        <c:numFmt formatCode="_(#,##0_);\(#,##0\);_(&quot;–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154992"/>
        <c:crosses val="autoZero"/>
        <c:crossBetween val="midCat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788846810899925"/>
          <c:y val="4.1884442633385525E-2"/>
          <c:w val="0.75211153189100077"/>
          <c:h val="7.85345666937714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2'!$U$17:$U$21</c:f>
              <c:strCache>
                <c:ptCount val="5"/>
                <c:pt idx="0">
                  <c:v>52-Week Trading</c:v>
                </c:pt>
                <c:pt idx="1">
                  <c:v>Consensus Research</c:v>
                </c:pt>
                <c:pt idx="2">
                  <c:v>Precedent Trans.</c:v>
                </c:pt>
                <c:pt idx="3">
                  <c:v>Sum-of-the-Parts</c:v>
                </c:pt>
                <c:pt idx="4">
                  <c:v>Discounted Cash Flow</c:v>
                </c:pt>
              </c:strCache>
            </c:strRef>
          </c:cat>
          <c:val>
            <c:numRef>
              <c:f>'Dashboard 2'!$X$17:$X$21</c:f>
              <c:numCache>
                <c:formatCode>_(#,##0_);\(#,##0\);_("–"_);_(@_)</c:formatCode>
                <c:ptCount val="5"/>
                <c:pt idx="0">
                  <c:v>1846</c:v>
                </c:pt>
                <c:pt idx="1">
                  <c:v>3750</c:v>
                </c:pt>
                <c:pt idx="2">
                  <c:v>1897</c:v>
                </c:pt>
                <c:pt idx="3">
                  <c:v>2456</c:v>
                </c:pt>
                <c:pt idx="4">
                  <c:v>2950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0E-4702-8140-CB239249B364}"/>
            </c:ext>
          </c:extLst>
        </c:ser>
        <c:ser>
          <c:idx val="1"/>
          <c:order val="1"/>
          <c:spPr>
            <a:solidFill>
              <a:srgbClr val="3271D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D4D4D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E0E-4702-8140-CB239249B364}"/>
              </c:ext>
            </c:extLst>
          </c:dPt>
          <c:dPt>
            <c:idx val="1"/>
            <c:invertIfNegative val="0"/>
            <c:bubble3D val="0"/>
            <c:spPr>
              <a:solidFill>
                <a:srgbClr val="D4D4D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E0E-4702-8140-CB239249B364}"/>
              </c:ext>
            </c:extLst>
          </c:dPt>
          <c:cat>
            <c:strRef>
              <c:f>'Dashboard 2'!$U$17:$U$21</c:f>
              <c:strCache>
                <c:ptCount val="5"/>
                <c:pt idx="0">
                  <c:v>52-Week Trading</c:v>
                </c:pt>
                <c:pt idx="1">
                  <c:v>Consensus Research</c:v>
                </c:pt>
                <c:pt idx="2">
                  <c:v>Precedent Trans.</c:v>
                </c:pt>
                <c:pt idx="3">
                  <c:v>Sum-of-the-Parts</c:v>
                </c:pt>
                <c:pt idx="4">
                  <c:v>Discounted Cash Flow</c:v>
                </c:pt>
              </c:strCache>
            </c:strRef>
          </c:cat>
          <c:val>
            <c:numRef>
              <c:f>'Dashboard 2'!$Y$17:$Y$21</c:f>
              <c:numCache>
                <c:formatCode>_(#,##0_);\(#,##0\);_("–"_);_(@_)</c:formatCode>
                <c:ptCount val="5"/>
                <c:pt idx="0">
                  <c:v>1685</c:v>
                </c:pt>
                <c:pt idx="1">
                  <c:v>1450</c:v>
                </c:pt>
                <c:pt idx="2">
                  <c:v>3724</c:v>
                </c:pt>
                <c:pt idx="3">
                  <c:v>5016</c:v>
                </c:pt>
                <c:pt idx="4">
                  <c:v>3212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0E-4702-8140-CB239249B364}"/>
            </c:ext>
          </c:extLst>
        </c:ser>
        <c:ser>
          <c:idx val="2"/>
          <c:order val="2"/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2'!$U$17:$U$21</c:f>
              <c:strCache>
                <c:ptCount val="5"/>
                <c:pt idx="0">
                  <c:v>52-Week Trading</c:v>
                </c:pt>
                <c:pt idx="1">
                  <c:v>Consensus Research</c:v>
                </c:pt>
                <c:pt idx="2">
                  <c:v>Precedent Trans.</c:v>
                </c:pt>
                <c:pt idx="3">
                  <c:v>Sum-of-the-Parts</c:v>
                </c:pt>
                <c:pt idx="4">
                  <c:v>Discounted Cash Flow</c:v>
                </c:pt>
              </c:strCache>
            </c:strRef>
          </c:cat>
          <c:val>
            <c:numRef>
              <c:f>'Dashboard 2'!$Z$17:$Z$21</c:f>
              <c:numCache>
                <c:formatCode>_(#,##0_);\(#,##0\);_("–"_);_(@_)</c:formatCode>
                <c:ptCount val="5"/>
                <c:pt idx="0">
                  <c:v>3531</c:v>
                </c:pt>
                <c:pt idx="1">
                  <c:v>5200</c:v>
                </c:pt>
                <c:pt idx="2">
                  <c:v>5621</c:v>
                </c:pt>
                <c:pt idx="3">
                  <c:v>7472</c:v>
                </c:pt>
                <c:pt idx="4">
                  <c:v>6162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E0E-4702-8140-CB239249B3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100"/>
        <c:axId val="1032126192"/>
        <c:axId val="1032124272"/>
      </c:barChart>
      <c:catAx>
        <c:axId val="10321261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124272"/>
        <c:crosses val="autoZero"/>
        <c:auto val="1"/>
        <c:lblAlgn val="ctr"/>
        <c:lblOffset val="100"/>
        <c:noMultiLvlLbl val="0"/>
      </c:catAx>
      <c:valAx>
        <c:axId val="1032124272"/>
        <c:scaling>
          <c:orientation val="minMax"/>
          <c:max val="8000"/>
        </c:scaling>
        <c:delete val="0"/>
        <c:axPos val="b"/>
        <c:numFmt formatCode="_(#,##0_);\(#,##0\);_(&quot;–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126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00284979790029"/>
          <c:y val="0.1508045321873695"/>
          <c:w val="0.80873216463598874"/>
          <c:h val="0.7335228599049934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'Dashboard 2'!$U$34</c:f>
              <c:strCache>
                <c:ptCount val="1"/>
                <c:pt idx="0">
                  <c:v>Online Stores</c:v>
                </c:pt>
              </c:strCache>
            </c:strRef>
          </c:tx>
          <c:spPr>
            <a:solidFill>
              <a:srgbClr val="F6F6F6"/>
            </a:solidFill>
            <a:ln>
              <a:noFill/>
            </a:ln>
            <a:effectLst/>
          </c:spPr>
          <c:invertIfNegative val="0"/>
          <c:cat>
            <c:numRef>
              <c:f>'Dashboard 2'!$X$28:$AF$28</c:f>
              <c:numCache>
                <c:formatCode>"Year "0_);"Year "\-0_)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cat>
          <c:val>
            <c:numRef>
              <c:f>'Dashboard 2'!$X$34:$AF$34</c:f>
              <c:numCache>
                <c:formatCode>_(#,##0_);\(#,##0\);_("–"_);_(@_)</c:formatCode>
                <c:ptCount val="9"/>
                <c:pt idx="0">
                  <c:v>95929.86</c:v>
                </c:pt>
                <c:pt idx="1">
                  <c:v>122987</c:v>
                </c:pt>
                <c:pt idx="2">
                  <c:v>141247</c:v>
                </c:pt>
                <c:pt idx="3">
                  <c:v>197346</c:v>
                </c:pt>
                <c:pt idx="4">
                  <c:v>240060.50332375269</c:v>
                </c:pt>
                <c:pt idx="5">
                  <c:v>281628.36957743583</c:v>
                </c:pt>
                <c:pt idx="6">
                  <c:v>320640.83597737399</c:v>
                </c:pt>
                <c:pt idx="7">
                  <c:v>356174.15915439423</c:v>
                </c:pt>
                <c:pt idx="8">
                  <c:v>387751.05163836869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C0-47B7-BBA6-32D5764A5CAA}"/>
            </c:ext>
          </c:extLst>
        </c:ser>
        <c:ser>
          <c:idx val="1"/>
          <c:order val="1"/>
          <c:tx>
            <c:strRef>
              <c:f>'Dashboard 2'!$U$35</c:f>
              <c:strCache>
                <c:ptCount val="1"/>
                <c:pt idx="0">
                  <c:v>Retail Services</c:v>
                </c:pt>
              </c:strCache>
            </c:strRef>
          </c:tx>
          <c:spPr>
            <a:solidFill>
              <a:srgbClr val="A3A3A3"/>
            </a:solidFill>
            <a:ln>
              <a:noFill/>
            </a:ln>
            <a:effectLst/>
          </c:spPr>
          <c:invertIfNegative val="0"/>
          <c:cat>
            <c:numRef>
              <c:f>'Dashboard 2'!$X$28:$AF$28</c:f>
              <c:numCache>
                <c:formatCode>"Year "0_);"Year "\-0_)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cat>
          <c:val>
            <c:numRef>
              <c:f>'Dashboard 2'!$X$35:$AF$35</c:f>
              <c:numCache>
                <c:formatCode>_(#,##0_);\(#,##0\);_("–"_);_(@_)</c:formatCode>
                <c:ptCount val="9"/>
                <c:pt idx="0">
                  <c:v>33341.1</c:v>
                </c:pt>
                <c:pt idx="1">
                  <c:v>42745</c:v>
                </c:pt>
                <c:pt idx="2">
                  <c:v>53762</c:v>
                </c:pt>
                <c:pt idx="3">
                  <c:v>80461</c:v>
                </c:pt>
                <c:pt idx="4">
                  <c:v>110265.2049812593</c:v>
                </c:pt>
                <c:pt idx="5">
                  <c:v>142940.58084347358</c:v>
                </c:pt>
                <c:pt idx="6">
                  <c:v>176827.15244739919</c:v>
                </c:pt>
                <c:pt idx="7">
                  <c:v>210363.13461603833</c:v>
                </c:pt>
                <c:pt idx="8">
                  <c:v>242280.10769977816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C0-47B7-BBA6-32D5764A5CAA}"/>
            </c:ext>
          </c:extLst>
        </c:ser>
        <c:ser>
          <c:idx val="2"/>
          <c:order val="2"/>
          <c:tx>
            <c:strRef>
              <c:f>'Dashboard 2'!$U$36</c:f>
              <c:strCache>
                <c:ptCount val="1"/>
                <c:pt idx="0">
                  <c:v>Subscription Services</c:v>
                </c:pt>
              </c:strCache>
            </c:strRef>
          </c:tx>
          <c:spPr>
            <a:solidFill>
              <a:srgbClr val="3271D2"/>
            </a:solidFill>
            <a:ln>
              <a:noFill/>
            </a:ln>
            <a:effectLst/>
          </c:spPr>
          <c:invertIfNegative val="0"/>
          <c:cat>
            <c:numRef>
              <c:f>'Dashboard 2'!$X$28:$AF$28</c:f>
              <c:numCache>
                <c:formatCode>"Year "0_);"Year "\-0_)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cat>
          <c:val>
            <c:numRef>
              <c:f>'Dashboard 2'!$X$36:$AF$36</c:f>
              <c:numCache>
                <c:formatCode>_(#,##0_);\(#,##0\);_("–"_);_(@_)</c:formatCode>
                <c:ptCount val="9"/>
                <c:pt idx="0">
                  <c:v>11051.04</c:v>
                </c:pt>
                <c:pt idx="1">
                  <c:v>14168</c:v>
                </c:pt>
                <c:pt idx="2">
                  <c:v>19210</c:v>
                </c:pt>
                <c:pt idx="3">
                  <c:v>25207</c:v>
                </c:pt>
                <c:pt idx="4">
                  <c:v>35578.724706744033</c:v>
                </c:pt>
                <c:pt idx="5">
                  <c:v>47290.16162745277</c:v>
                </c:pt>
                <c:pt idx="6">
                  <c:v>59743.350985643629</c:v>
                </c:pt>
                <c:pt idx="7">
                  <c:v>72329.398266736898</c:v>
                </c:pt>
                <c:pt idx="8">
                  <c:v>84519.423919860128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C0-47B7-BBA6-32D5764A5CAA}"/>
            </c:ext>
          </c:extLst>
        </c:ser>
        <c:ser>
          <c:idx val="3"/>
          <c:order val="3"/>
          <c:tx>
            <c:strRef>
              <c:f>'Dashboard 2'!$U$37</c:f>
              <c:strCache>
                <c:ptCount val="1"/>
                <c:pt idx="0">
                  <c:v>Physical Stores</c:v>
                </c:pt>
              </c:strCache>
            </c:strRef>
          </c:tx>
          <c:spPr>
            <a:solidFill>
              <a:srgbClr val="1B3E70"/>
            </a:solidFill>
            <a:ln>
              <a:noFill/>
            </a:ln>
            <a:effectLst/>
          </c:spPr>
          <c:invertIfNegative val="0"/>
          <c:cat>
            <c:numRef>
              <c:f>'Dashboard 2'!$X$28:$AF$28</c:f>
              <c:numCache>
                <c:formatCode>"Year "0_);"Year "\-0_)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cat>
          <c:val>
            <c:numRef>
              <c:f>'Dashboard 2'!$X$37:$AF$37</c:f>
              <c:numCache>
                <c:formatCode>_(#,##0_);\(#,##0\);_("–"_);_(@_)</c:formatCode>
                <c:ptCount val="9"/>
                <c:pt idx="0">
                  <c:v>13434.720000000001</c:v>
                </c:pt>
                <c:pt idx="1">
                  <c:v>17224</c:v>
                </c:pt>
                <c:pt idx="2">
                  <c:v>17192</c:v>
                </c:pt>
                <c:pt idx="3">
                  <c:v>16227</c:v>
                </c:pt>
                <c:pt idx="4">
                  <c:v>17038.350000000002</c:v>
                </c:pt>
                <c:pt idx="5">
                  <c:v>17719.884000000002</c:v>
                </c:pt>
                <c:pt idx="6">
                  <c:v>18286.920288000001</c:v>
                </c:pt>
                <c:pt idx="7">
                  <c:v>18755.065447372803</c:v>
                </c:pt>
                <c:pt idx="8">
                  <c:v>19139.169187734999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0C0-47B7-BBA6-32D5764A5C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100"/>
        <c:axId val="1360227328"/>
        <c:axId val="1360221568"/>
      </c:barChart>
      <c:lineChart>
        <c:grouping val="standard"/>
        <c:varyColors val="0"/>
        <c:ser>
          <c:idx val="4"/>
          <c:order val="4"/>
          <c:tx>
            <c:strRef>
              <c:f>'Dashboard 2'!$U$30</c:f>
              <c:strCache>
                <c:ptCount val="1"/>
                <c:pt idx="0">
                  <c:v>Revenue Growth (%)</c:v>
                </c:pt>
              </c:strCache>
            </c:strRef>
          </c:tx>
          <c:spPr>
            <a:ln w="28575" cap="rnd">
              <a:solidFill>
                <a:srgbClr val="EB6105"/>
              </a:solidFill>
              <a:prstDash val="dash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EB6105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'Dashboard 2'!$X$30:$AF$30</c:f>
              <c:numCache>
                <c:formatCode>_(#,##0%_);\(#,##0%\);_("–"_);_(@_)</c:formatCode>
                <c:ptCount val="9"/>
                <c:pt idx="1">
                  <c:v>0.28205128205128194</c:v>
                </c:pt>
                <c:pt idx="2">
                  <c:v>0.17393620259329157</c:v>
                </c:pt>
                <c:pt idx="3">
                  <c:v>0.3795411626932168</c:v>
                </c:pt>
                <c:pt idx="4">
                  <c:v>0.26218995370818909</c:v>
                </c:pt>
                <c:pt idx="5">
                  <c:v>0.21500872255125758</c:v>
                </c:pt>
                <c:pt idx="6">
                  <c:v>0.17549622092359374</c:v>
                </c:pt>
                <c:pt idx="7">
                  <c:v>0.14269981950798849</c:v>
                </c:pt>
                <c:pt idx="8">
                  <c:v>0.11567134769410004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0C0-47B7-BBA6-32D5764A5C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2133392"/>
        <c:axId val="1032132912"/>
      </c:lineChart>
      <c:catAx>
        <c:axId val="1360227328"/>
        <c:scaling>
          <c:orientation val="minMax"/>
        </c:scaling>
        <c:delete val="0"/>
        <c:axPos val="b"/>
        <c:numFmt formatCode="&quot;Year &quot;0_);&quot;Year &quot;\-0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221568"/>
        <c:crosses val="autoZero"/>
        <c:auto val="1"/>
        <c:lblAlgn val="ctr"/>
        <c:lblOffset val="100"/>
        <c:noMultiLvlLbl val="0"/>
      </c:catAx>
      <c:valAx>
        <c:axId val="1360221568"/>
        <c:scaling>
          <c:orientation val="minMax"/>
        </c:scaling>
        <c:delete val="0"/>
        <c:axPos val="l"/>
        <c:numFmt formatCode="_(#,##0_);\(#,##0\);_(&quot;–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227328"/>
        <c:crosses val="autoZero"/>
        <c:crossBetween val="between"/>
      </c:valAx>
      <c:valAx>
        <c:axId val="1032132912"/>
        <c:scaling>
          <c:orientation val="minMax"/>
          <c:max val="1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133392"/>
        <c:crosses val="max"/>
        <c:crossBetween val="between"/>
      </c:valAx>
      <c:catAx>
        <c:axId val="1032133392"/>
        <c:scaling>
          <c:orientation val="minMax"/>
        </c:scaling>
        <c:delete val="1"/>
        <c:axPos val="b"/>
        <c:majorTickMark val="out"/>
        <c:minorTickMark val="none"/>
        <c:tickLblPos val="nextTo"/>
        <c:crossAx val="1032132912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3813708938548594"/>
          <c:y val="5.7470804972408016E-2"/>
          <c:w val="0.7466351441521869"/>
          <c:h val="0.11862150697952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452181361013234"/>
          <c:y val="0.11263224877141279"/>
          <c:w val="0.87178405607215093"/>
          <c:h val="0.72267268342254098"/>
        </c:manualLayout>
      </c:layout>
      <c:lineChart>
        <c:grouping val="standard"/>
        <c:varyColors val="0"/>
        <c:ser>
          <c:idx val="0"/>
          <c:order val="0"/>
          <c:tx>
            <c:strRef>
              <c:f>'Dashboard 2'!$U$40</c:f>
              <c:strCache>
                <c:ptCount val="1"/>
                <c:pt idx="0">
                  <c:v>EBITDA</c:v>
                </c:pt>
              </c:strCache>
            </c:strRef>
          </c:tx>
          <c:spPr>
            <a:ln w="28575" cap="rnd">
              <a:solidFill>
                <a:srgbClr val="1B3E70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rgbClr val="1B3E70"/>
                </a:solidFill>
              </a:ln>
              <a:effectLst/>
            </c:spPr>
          </c:marker>
          <c:cat>
            <c:numRef>
              <c:f>'Dashboard 2'!$X$28:$AF$28</c:f>
              <c:numCache>
                <c:formatCode>"Year "0_);"Year "\-0_)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cat>
          <c:val>
            <c:numRef>
              <c:f>'Dashboard 2'!$X$40:$AF$40</c:f>
              <c:numCache>
                <c:formatCode>_(#,##0_);\(#,##0\);_("–"_);_(@_)</c:formatCode>
                <c:ptCount val="9"/>
                <c:pt idx="0">
                  <c:v>22142</c:v>
                </c:pt>
                <c:pt idx="1">
                  <c:v>33180</c:v>
                </c:pt>
                <c:pt idx="2">
                  <c:v>43194</c:v>
                </c:pt>
                <c:pt idx="3">
                  <c:v>57358</c:v>
                </c:pt>
                <c:pt idx="4">
                  <c:v>52050.653549403178</c:v>
                </c:pt>
                <c:pt idx="5">
                  <c:v>66876.696503684972</c:v>
                </c:pt>
                <c:pt idx="6">
                  <c:v>83338.572240235488</c:v>
                </c:pt>
                <c:pt idx="7">
                  <c:v>101090.50096847929</c:v>
                </c:pt>
                <c:pt idx="8">
                  <c:v>119784.17885472803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F7-46D5-BD74-70E0BC0192F8}"/>
            </c:ext>
          </c:extLst>
        </c:ser>
        <c:ser>
          <c:idx val="1"/>
          <c:order val="1"/>
          <c:tx>
            <c:strRef>
              <c:f>'Dashboard 2'!$U$41</c:f>
              <c:strCache>
                <c:ptCount val="1"/>
                <c:pt idx="0">
                  <c:v>FCFF</c:v>
                </c:pt>
              </c:strCache>
            </c:strRef>
          </c:tx>
          <c:spPr>
            <a:ln w="28575" cap="rnd">
              <a:solidFill>
                <a:srgbClr val="3271D2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rgbClr val="3271D2"/>
                </a:solidFill>
              </a:ln>
              <a:effectLst/>
            </c:spPr>
          </c:marker>
          <c:cat>
            <c:numRef>
              <c:f>'Dashboard 2'!$X$28:$AF$28</c:f>
              <c:numCache>
                <c:formatCode>"Year "0_);"Year "\-0_)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cat>
          <c:val>
            <c:numRef>
              <c:f>'Dashboard 2'!$X$41:$AF$41</c:f>
              <c:numCache>
                <c:formatCode>_(#,##0_);\(#,##0\);_("–"_);_(@_)</c:formatCode>
                <c:ptCount val="9"/>
                <c:pt idx="0">
                  <c:v>13876</c:v>
                </c:pt>
                <c:pt idx="1">
                  <c:v>17748.438000000002</c:v>
                </c:pt>
                <c:pt idx="2">
                  <c:v>24095.797999999995</c:v>
                </c:pt>
                <c:pt idx="3">
                  <c:v>25214.521999999997</c:v>
                </c:pt>
                <c:pt idx="4">
                  <c:v>20613.91861976662</c:v>
                </c:pt>
                <c:pt idx="5">
                  <c:v>40835.291584577695</c:v>
                </c:pt>
                <c:pt idx="6">
                  <c:v>48539.052532119618</c:v>
                </c:pt>
                <c:pt idx="7">
                  <c:v>56623.673220765355</c:v>
                </c:pt>
                <c:pt idx="8">
                  <c:v>65479.927654103223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F7-46D5-BD74-70E0BC0192F8}"/>
            </c:ext>
          </c:extLst>
        </c:ser>
        <c:ser>
          <c:idx val="2"/>
          <c:order val="2"/>
          <c:tx>
            <c:strRef>
              <c:f>'Dashboard 2'!$U$42</c:f>
              <c:strCache>
                <c:ptCount val="1"/>
                <c:pt idx="0">
                  <c:v>Net Income</c:v>
                </c:pt>
              </c:strCache>
            </c:strRef>
          </c:tx>
          <c:spPr>
            <a:ln w="28575" cap="rnd">
              <a:solidFill>
                <a:srgbClr val="D4D4D4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rgbClr val="D4D4D4"/>
                </a:solidFill>
              </a:ln>
              <a:effectLst/>
            </c:spPr>
          </c:marker>
          <c:cat>
            <c:numRef>
              <c:f>'Dashboard 2'!$X$28:$AF$28</c:f>
              <c:numCache>
                <c:formatCode>"Year "0_);"Year "\-0_)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cat>
          <c:val>
            <c:numRef>
              <c:f>'Dashboard 2'!$X$42:$AF$42</c:f>
              <c:numCache>
                <c:formatCode>_(#,##0_);\(#,##0\);_("–"_);_(@_)</c:formatCode>
                <c:ptCount val="9"/>
                <c:pt idx="0">
                  <c:v>9865</c:v>
                </c:pt>
                <c:pt idx="1">
                  <c:v>10073</c:v>
                </c:pt>
                <c:pt idx="2">
                  <c:v>11588</c:v>
                </c:pt>
                <c:pt idx="3">
                  <c:v>21331</c:v>
                </c:pt>
                <c:pt idx="4">
                  <c:v>15971.634341949975</c:v>
                </c:pt>
                <c:pt idx="5">
                  <c:v>19829.125474541652</c:v>
                </c:pt>
                <c:pt idx="6">
                  <c:v>24144.008065277267</c:v>
                </c:pt>
                <c:pt idx="7">
                  <c:v>28514.286746040711</c:v>
                </c:pt>
                <c:pt idx="8">
                  <c:v>32788.30168889997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F7-46D5-BD74-70E0BC0192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7592816"/>
        <c:axId val="627598576"/>
      </c:lineChart>
      <c:catAx>
        <c:axId val="627592816"/>
        <c:scaling>
          <c:orientation val="minMax"/>
        </c:scaling>
        <c:delete val="0"/>
        <c:axPos val="b"/>
        <c:numFmt formatCode="&quot;Year &quot;0_);&quot;Year &quot;\-0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598576"/>
        <c:crosses val="autoZero"/>
        <c:auto val="1"/>
        <c:lblAlgn val="ctr"/>
        <c:lblOffset val="100"/>
        <c:noMultiLvlLbl val="0"/>
      </c:catAx>
      <c:valAx>
        <c:axId val="627598576"/>
        <c:scaling>
          <c:orientation val="minMax"/>
        </c:scaling>
        <c:delete val="0"/>
        <c:axPos val="l"/>
        <c:numFmt formatCode="_(#,##0_);\(#,##0\);_(&quot;–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592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EB6105"/>
              </a:solidFill>
              <a:round/>
            </a:ln>
            <a:effectLst/>
          </c:spPr>
          <c:marker>
            <c:symbol val="none"/>
          </c:marker>
          <c:cat>
            <c:numRef>
              <c:f>Chart!$B$9:$B$261</c:f>
              <c:numCache>
                <c:formatCode>mmm\ d</c:formatCode>
                <c:ptCount val="253"/>
                <c:pt idx="0">
                  <c:v>36604</c:v>
                </c:pt>
                <c:pt idx="1">
                  <c:v>36605</c:v>
                </c:pt>
                <c:pt idx="2">
                  <c:v>36608</c:v>
                </c:pt>
                <c:pt idx="3">
                  <c:v>36609</c:v>
                </c:pt>
                <c:pt idx="4">
                  <c:v>36610</c:v>
                </c:pt>
                <c:pt idx="5">
                  <c:v>36611</c:v>
                </c:pt>
                <c:pt idx="6">
                  <c:v>36612</c:v>
                </c:pt>
                <c:pt idx="7">
                  <c:v>36615</c:v>
                </c:pt>
                <c:pt idx="8">
                  <c:v>36616</c:v>
                </c:pt>
                <c:pt idx="9">
                  <c:v>36617</c:v>
                </c:pt>
                <c:pt idx="10">
                  <c:v>36618</c:v>
                </c:pt>
                <c:pt idx="11">
                  <c:v>36619</c:v>
                </c:pt>
                <c:pt idx="12">
                  <c:v>36622</c:v>
                </c:pt>
                <c:pt idx="13">
                  <c:v>36623</c:v>
                </c:pt>
                <c:pt idx="14">
                  <c:v>36624</c:v>
                </c:pt>
                <c:pt idx="15">
                  <c:v>36625</c:v>
                </c:pt>
                <c:pt idx="16">
                  <c:v>36629</c:v>
                </c:pt>
                <c:pt idx="17">
                  <c:v>36630</c:v>
                </c:pt>
                <c:pt idx="18">
                  <c:v>36631</c:v>
                </c:pt>
                <c:pt idx="19">
                  <c:v>36632</c:v>
                </c:pt>
                <c:pt idx="20">
                  <c:v>36633</c:v>
                </c:pt>
                <c:pt idx="21">
                  <c:v>36636</c:v>
                </c:pt>
                <c:pt idx="22">
                  <c:v>36637</c:v>
                </c:pt>
                <c:pt idx="23">
                  <c:v>36638</c:v>
                </c:pt>
                <c:pt idx="24">
                  <c:v>36639</c:v>
                </c:pt>
                <c:pt idx="25">
                  <c:v>36640</c:v>
                </c:pt>
                <c:pt idx="26">
                  <c:v>36643</c:v>
                </c:pt>
                <c:pt idx="27">
                  <c:v>36644</c:v>
                </c:pt>
                <c:pt idx="28">
                  <c:v>36645</c:v>
                </c:pt>
                <c:pt idx="29">
                  <c:v>36646</c:v>
                </c:pt>
                <c:pt idx="30">
                  <c:v>36647</c:v>
                </c:pt>
                <c:pt idx="31">
                  <c:v>36650</c:v>
                </c:pt>
                <c:pt idx="32">
                  <c:v>36651</c:v>
                </c:pt>
                <c:pt idx="33">
                  <c:v>36652</c:v>
                </c:pt>
                <c:pt idx="34">
                  <c:v>36653</c:v>
                </c:pt>
                <c:pt idx="35">
                  <c:v>36654</c:v>
                </c:pt>
                <c:pt idx="36">
                  <c:v>36657</c:v>
                </c:pt>
                <c:pt idx="37">
                  <c:v>36658</c:v>
                </c:pt>
                <c:pt idx="38">
                  <c:v>36659</c:v>
                </c:pt>
                <c:pt idx="39">
                  <c:v>36660</c:v>
                </c:pt>
                <c:pt idx="40">
                  <c:v>36661</c:v>
                </c:pt>
                <c:pt idx="41">
                  <c:v>36664</c:v>
                </c:pt>
                <c:pt idx="42">
                  <c:v>36665</c:v>
                </c:pt>
                <c:pt idx="43">
                  <c:v>36666</c:v>
                </c:pt>
                <c:pt idx="44">
                  <c:v>36667</c:v>
                </c:pt>
                <c:pt idx="45">
                  <c:v>36668</c:v>
                </c:pt>
                <c:pt idx="46">
                  <c:v>36672</c:v>
                </c:pt>
                <c:pt idx="47">
                  <c:v>36673</c:v>
                </c:pt>
                <c:pt idx="48">
                  <c:v>36674</c:v>
                </c:pt>
                <c:pt idx="49">
                  <c:v>36675</c:v>
                </c:pt>
                <c:pt idx="50">
                  <c:v>36678</c:v>
                </c:pt>
                <c:pt idx="51">
                  <c:v>36679</c:v>
                </c:pt>
                <c:pt idx="52">
                  <c:v>36680</c:v>
                </c:pt>
                <c:pt idx="53">
                  <c:v>36681</c:v>
                </c:pt>
                <c:pt idx="54">
                  <c:v>36682</c:v>
                </c:pt>
                <c:pt idx="55">
                  <c:v>36685</c:v>
                </c:pt>
                <c:pt idx="56">
                  <c:v>36686</c:v>
                </c:pt>
                <c:pt idx="57">
                  <c:v>36687</c:v>
                </c:pt>
                <c:pt idx="58">
                  <c:v>36688</c:v>
                </c:pt>
                <c:pt idx="59">
                  <c:v>36689</c:v>
                </c:pt>
                <c:pt idx="60">
                  <c:v>36692</c:v>
                </c:pt>
                <c:pt idx="61">
                  <c:v>36693</c:v>
                </c:pt>
                <c:pt idx="62">
                  <c:v>36694</c:v>
                </c:pt>
                <c:pt idx="63">
                  <c:v>36695</c:v>
                </c:pt>
                <c:pt idx="64">
                  <c:v>36696</c:v>
                </c:pt>
                <c:pt idx="65">
                  <c:v>36699</c:v>
                </c:pt>
                <c:pt idx="66">
                  <c:v>36700</c:v>
                </c:pt>
                <c:pt idx="67">
                  <c:v>36701</c:v>
                </c:pt>
                <c:pt idx="68">
                  <c:v>36702</c:v>
                </c:pt>
                <c:pt idx="69">
                  <c:v>36703</c:v>
                </c:pt>
                <c:pt idx="70">
                  <c:v>36706</c:v>
                </c:pt>
                <c:pt idx="71">
                  <c:v>36707</c:v>
                </c:pt>
                <c:pt idx="72">
                  <c:v>36708</c:v>
                </c:pt>
                <c:pt idx="73">
                  <c:v>36709</c:v>
                </c:pt>
                <c:pt idx="74">
                  <c:v>36713</c:v>
                </c:pt>
                <c:pt idx="75">
                  <c:v>36714</c:v>
                </c:pt>
                <c:pt idx="76">
                  <c:v>36715</c:v>
                </c:pt>
                <c:pt idx="77">
                  <c:v>36716</c:v>
                </c:pt>
                <c:pt idx="78">
                  <c:v>36717</c:v>
                </c:pt>
                <c:pt idx="79">
                  <c:v>36720</c:v>
                </c:pt>
                <c:pt idx="80">
                  <c:v>36721</c:v>
                </c:pt>
                <c:pt idx="81">
                  <c:v>36722</c:v>
                </c:pt>
                <c:pt idx="82">
                  <c:v>36723</c:v>
                </c:pt>
                <c:pt idx="83">
                  <c:v>36724</c:v>
                </c:pt>
                <c:pt idx="84">
                  <c:v>36727</c:v>
                </c:pt>
                <c:pt idx="85">
                  <c:v>36728</c:v>
                </c:pt>
                <c:pt idx="86">
                  <c:v>36729</c:v>
                </c:pt>
                <c:pt idx="87">
                  <c:v>36730</c:v>
                </c:pt>
                <c:pt idx="88">
                  <c:v>36731</c:v>
                </c:pt>
                <c:pt idx="89">
                  <c:v>36734</c:v>
                </c:pt>
                <c:pt idx="90">
                  <c:v>36735</c:v>
                </c:pt>
                <c:pt idx="91">
                  <c:v>36736</c:v>
                </c:pt>
                <c:pt idx="92">
                  <c:v>36737</c:v>
                </c:pt>
                <c:pt idx="93">
                  <c:v>36738</c:v>
                </c:pt>
                <c:pt idx="94">
                  <c:v>36741</c:v>
                </c:pt>
                <c:pt idx="95">
                  <c:v>36742</c:v>
                </c:pt>
                <c:pt idx="96">
                  <c:v>36743</c:v>
                </c:pt>
                <c:pt idx="97">
                  <c:v>36744</c:v>
                </c:pt>
                <c:pt idx="98">
                  <c:v>36745</c:v>
                </c:pt>
                <c:pt idx="99">
                  <c:v>36748</c:v>
                </c:pt>
                <c:pt idx="100">
                  <c:v>36749</c:v>
                </c:pt>
                <c:pt idx="101">
                  <c:v>36750</c:v>
                </c:pt>
                <c:pt idx="102">
                  <c:v>36751</c:v>
                </c:pt>
                <c:pt idx="103">
                  <c:v>36752</c:v>
                </c:pt>
                <c:pt idx="104">
                  <c:v>36755</c:v>
                </c:pt>
                <c:pt idx="105">
                  <c:v>36756</c:v>
                </c:pt>
                <c:pt idx="106">
                  <c:v>36757</c:v>
                </c:pt>
                <c:pt idx="107">
                  <c:v>36758</c:v>
                </c:pt>
                <c:pt idx="108">
                  <c:v>36759</c:v>
                </c:pt>
                <c:pt idx="109">
                  <c:v>36762</c:v>
                </c:pt>
                <c:pt idx="110">
                  <c:v>36763</c:v>
                </c:pt>
                <c:pt idx="111">
                  <c:v>36764</c:v>
                </c:pt>
                <c:pt idx="112">
                  <c:v>36765</c:v>
                </c:pt>
                <c:pt idx="113">
                  <c:v>36766</c:v>
                </c:pt>
                <c:pt idx="114">
                  <c:v>36769</c:v>
                </c:pt>
                <c:pt idx="115">
                  <c:v>36770</c:v>
                </c:pt>
                <c:pt idx="116">
                  <c:v>36771</c:v>
                </c:pt>
                <c:pt idx="117">
                  <c:v>36772</c:v>
                </c:pt>
                <c:pt idx="118">
                  <c:v>36773</c:v>
                </c:pt>
                <c:pt idx="119">
                  <c:v>36777</c:v>
                </c:pt>
                <c:pt idx="120">
                  <c:v>36778</c:v>
                </c:pt>
                <c:pt idx="121">
                  <c:v>36779</c:v>
                </c:pt>
                <c:pt idx="122">
                  <c:v>36780</c:v>
                </c:pt>
                <c:pt idx="123">
                  <c:v>36783</c:v>
                </c:pt>
                <c:pt idx="124">
                  <c:v>36784</c:v>
                </c:pt>
                <c:pt idx="125">
                  <c:v>36785</c:v>
                </c:pt>
                <c:pt idx="126">
                  <c:v>36786</c:v>
                </c:pt>
                <c:pt idx="127">
                  <c:v>36787</c:v>
                </c:pt>
                <c:pt idx="128">
                  <c:v>36790</c:v>
                </c:pt>
                <c:pt idx="129">
                  <c:v>36791</c:v>
                </c:pt>
                <c:pt idx="130">
                  <c:v>36792</c:v>
                </c:pt>
                <c:pt idx="131">
                  <c:v>36793</c:v>
                </c:pt>
                <c:pt idx="132">
                  <c:v>36794</c:v>
                </c:pt>
                <c:pt idx="133">
                  <c:v>36797</c:v>
                </c:pt>
                <c:pt idx="134">
                  <c:v>36798</c:v>
                </c:pt>
                <c:pt idx="135">
                  <c:v>36799</c:v>
                </c:pt>
                <c:pt idx="136">
                  <c:v>36800</c:v>
                </c:pt>
                <c:pt idx="137">
                  <c:v>36801</c:v>
                </c:pt>
                <c:pt idx="138">
                  <c:v>36804</c:v>
                </c:pt>
                <c:pt idx="139">
                  <c:v>36805</c:v>
                </c:pt>
                <c:pt idx="140">
                  <c:v>36806</c:v>
                </c:pt>
                <c:pt idx="141">
                  <c:v>36807</c:v>
                </c:pt>
                <c:pt idx="142">
                  <c:v>36808</c:v>
                </c:pt>
                <c:pt idx="143">
                  <c:v>36811</c:v>
                </c:pt>
                <c:pt idx="144">
                  <c:v>36812</c:v>
                </c:pt>
                <c:pt idx="145">
                  <c:v>36813</c:v>
                </c:pt>
                <c:pt idx="146">
                  <c:v>36814</c:v>
                </c:pt>
                <c:pt idx="147">
                  <c:v>36815</c:v>
                </c:pt>
                <c:pt idx="148">
                  <c:v>36818</c:v>
                </c:pt>
                <c:pt idx="149">
                  <c:v>36819</c:v>
                </c:pt>
                <c:pt idx="150">
                  <c:v>36820</c:v>
                </c:pt>
                <c:pt idx="151">
                  <c:v>36821</c:v>
                </c:pt>
                <c:pt idx="152">
                  <c:v>36822</c:v>
                </c:pt>
                <c:pt idx="153">
                  <c:v>36825</c:v>
                </c:pt>
                <c:pt idx="154">
                  <c:v>36826</c:v>
                </c:pt>
                <c:pt idx="155">
                  <c:v>36827</c:v>
                </c:pt>
                <c:pt idx="156">
                  <c:v>36828</c:v>
                </c:pt>
                <c:pt idx="157">
                  <c:v>36829</c:v>
                </c:pt>
                <c:pt idx="158">
                  <c:v>36832</c:v>
                </c:pt>
                <c:pt idx="159">
                  <c:v>36833</c:v>
                </c:pt>
                <c:pt idx="160">
                  <c:v>36834</c:v>
                </c:pt>
                <c:pt idx="161">
                  <c:v>36835</c:v>
                </c:pt>
                <c:pt idx="162">
                  <c:v>36836</c:v>
                </c:pt>
                <c:pt idx="163">
                  <c:v>36839</c:v>
                </c:pt>
                <c:pt idx="164">
                  <c:v>36840</c:v>
                </c:pt>
                <c:pt idx="165">
                  <c:v>36841</c:v>
                </c:pt>
                <c:pt idx="166">
                  <c:v>36842</c:v>
                </c:pt>
                <c:pt idx="167">
                  <c:v>36843</c:v>
                </c:pt>
                <c:pt idx="168">
                  <c:v>36846</c:v>
                </c:pt>
                <c:pt idx="169">
                  <c:v>36847</c:v>
                </c:pt>
                <c:pt idx="170">
                  <c:v>36848</c:v>
                </c:pt>
                <c:pt idx="171">
                  <c:v>36849</c:v>
                </c:pt>
                <c:pt idx="172">
                  <c:v>36850</c:v>
                </c:pt>
                <c:pt idx="173">
                  <c:v>36853</c:v>
                </c:pt>
                <c:pt idx="174">
                  <c:v>36854</c:v>
                </c:pt>
                <c:pt idx="175">
                  <c:v>36855</c:v>
                </c:pt>
                <c:pt idx="176">
                  <c:v>36857</c:v>
                </c:pt>
                <c:pt idx="177">
                  <c:v>36860</c:v>
                </c:pt>
                <c:pt idx="178">
                  <c:v>36861</c:v>
                </c:pt>
                <c:pt idx="179">
                  <c:v>36862</c:v>
                </c:pt>
                <c:pt idx="180">
                  <c:v>36863</c:v>
                </c:pt>
                <c:pt idx="181">
                  <c:v>36864</c:v>
                </c:pt>
                <c:pt idx="182">
                  <c:v>36867</c:v>
                </c:pt>
                <c:pt idx="183">
                  <c:v>36868</c:v>
                </c:pt>
                <c:pt idx="184">
                  <c:v>36869</c:v>
                </c:pt>
                <c:pt idx="185">
                  <c:v>36870</c:v>
                </c:pt>
                <c:pt idx="186">
                  <c:v>36871</c:v>
                </c:pt>
                <c:pt idx="187">
                  <c:v>36874</c:v>
                </c:pt>
                <c:pt idx="188">
                  <c:v>36875</c:v>
                </c:pt>
                <c:pt idx="189">
                  <c:v>36876</c:v>
                </c:pt>
                <c:pt idx="190">
                  <c:v>36877</c:v>
                </c:pt>
                <c:pt idx="191">
                  <c:v>36878</c:v>
                </c:pt>
                <c:pt idx="192">
                  <c:v>36881</c:v>
                </c:pt>
                <c:pt idx="193">
                  <c:v>36882</c:v>
                </c:pt>
                <c:pt idx="194">
                  <c:v>36883</c:v>
                </c:pt>
                <c:pt idx="195">
                  <c:v>36884</c:v>
                </c:pt>
                <c:pt idx="196">
                  <c:v>36888</c:v>
                </c:pt>
                <c:pt idx="197">
                  <c:v>36889</c:v>
                </c:pt>
                <c:pt idx="198">
                  <c:v>36890</c:v>
                </c:pt>
                <c:pt idx="199">
                  <c:v>36891</c:v>
                </c:pt>
                <c:pt idx="200">
                  <c:v>36895</c:v>
                </c:pt>
                <c:pt idx="201">
                  <c:v>36896</c:v>
                </c:pt>
                <c:pt idx="202">
                  <c:v>36897</c:v>
                </c:pt>
                <c:pt idx="203">
                  <c:v>36898</c:v>
                </c:pt>
                <c:pt idx="204">
                  <c:v>36899</c:v>
                </c:pt>
                <c:pt idx="205">
                  <c:v>36902</c:v>
                </c:pt>
                <c:pt idx="206">
                  <c:v>36903</c:v>
                </c:pt>
                <c:pt idx="207">
                  <c:v>36904</c:v>
                </c:pt>
                <c:pt idx="208">
                  <c:v>36905</c:v>
                </c:pt>
                <c:pt idx="209">
                  <c:v>36906</c:v>
                </c:pt>
                <c:pt idx="210">
                  <c:v>36910</c:v>
                </c:pt>
                <c:pt idx="211">
                  <c:v>36911</c:v>
                </c:pt>
                <c:pt idx="212">
                  <c:v>36912</c:v>
                </c:pt>
                <c:pt idx="213">
                  <c:v>36913</c:v>
                </c:pt>
                <c:pt idx="214">
                  <c:v>36916</c:v>
                </c:pt>
                <c:pt idx="215">
                  <c:v>36917</c:v>
                </c:pt>
                <c:pt idx="216">
                  <c:v>36918</c:v>
                </c:pt>
                <c:pt idx="217">
                  <c:v>36919</c:v>
                </c:pt>
                <c:pt idx="218">
                  <c:v>36920</c:v>
                </c:pt>
                <c:pt idx="219">
                  <c:v>36923</c:v>
                </c:pt>
                <c:pt idx="220">
                  <c:v>36924</c:v>
                </c:pt>
                <c:pt idx="221">
                  <c:v>36925</c:v>
                </c:pt>
                <c:pt idx="222">
                  <c:v>36926</c:v>
                </c:pt>
                <c:pt idx="223">
                  <c:v>36927</c:v>
                </c:pt>
                <c:pt idx="224">
                  <c:v>36930</c:v>
                </c:pt>
                <c:pt idx="225">
                  <c:v>36931</c:v>
                </c:pt>
                <c:pt idx="226">
                  <c:v>36932</c:v>
                </c:pt>
                <c:pt idx="227">
                  <c:v>36933</c:v>
                </c:pt>
                <c:pt idx="228">
                  <c:v>36934</c:v>
                </c:pt>
                <c:pt idx="229">
                  <c:v>36938</c:v>
                </c:pt>
                <c:pt idx="230">
                  <c:v>36939</c:v>
                </c:pt>
                <c:pt idx="231">
                  <c:v>36940</c:v>
                </c:pt>
                <c:pt idx="232">
                  <c:v>36941</c:v>
                </c:pt>
                <c:pt idx="233">
                  <c:v>36944</c:v>
                </c:pt>
                <c:pt idx="234">
                  <c:v>36945</c:v>
                </c:pt>
                <c:pt idx="235">
                  <c:v>36946</c:v>
                </c:pt>
                <c:pt idx="236">
                  <c:v>36947</c:v>
                </c:pt>
                <c:pt idx="237">
                  <c:v>36948</c:v>
                </c:pt>
                <c:pt idx="238">
                  <c:v>36951</c:v>
                </c:pt>
                <c:pt idx="239">
                  <c:v>36952</c:v>
                </c:pt>
                <c:pt idx="240">
                  <c:v>36953</c:v>
                </c:pt>
                <c:pt idx="241">
                  <c:v>36954</c:v>
                </c:pt>
                <c:pt idx="242">
                  <c:v>36955</c:v>
                </c:pt>
                <c:pt idx="243">
                  <c:v>36958</c:v>
                </c:pt>
                <c:pt idx="244">
                  <c:v>36959</c:v>
                </c:pt>
                <c:pt idx="245">
                  <c:v>36960</c:v>
                </c:pt>
                <c:pt idx="246">
                  <c:v>36961</c:v>
                </c:pt>
                <c:pt idx="247">
                  <c:v>36962</c:v>
                </c:pt>
                <c:pt idx="248">
                  <c:v>36965</c:v>
                </c:pt>
                <c:pt idx="249">
                  <c:v>36966</c:v>
                </c:pt>
                <c:pt idx="250">
                  <c:v>36967</c:v>
                </c:pt>
                <c:pt idx="251">
                  <c:v>36968</c:v>
                </c:pt>
                <c:pt idx="252">
                  <c:v>36969</c:v>
                </c:pt>
              </c:numCache>
            </c:numRef>
          </c:cat>
          <c:val>
            <c:numRef>
              <c:f>Chart!$C$9:$C$261</c:f>
              <c:numCache>
                <c:formatCode>_(#,##0_);\(#,##0\);_("–"_);_(@_)</c:formatCode>
                <c:ptCount val="253"/>
                <c:pt idx="0">
                  <c:v>1880.93</c:v>
                </c:pt>
                <c:pt idx="1">
                  <c:v>1846.09</c:v>
                </c:pt>
                <c:pt idx="2">
                  <c:v>1902.83</c:v>
                </c:pt>
                <c:pt idx="3">
                  <c:v>1940.1</c:v>
                </c:pt>
                <c:pt idx="4">
                  <c:v>1885.84</c:v>
                </c:pt>
                <c:pt idx="5">
                  <c:v>1955.49</c:v>
                </c:pt>
                <c:pt idx="6">
                  <c:v>1900.1</c:v>
                </c:pt>
                <c:pt idx="7">
                  <c:v>1963.95</c:v>
                </c:pt>
                <c:pt idx="8">
                  <c:v>1949.72</c:v>
                </c:pt>
                <c:pt idx="9">
                  <c:v>1907.7</c:v>
                </c:pt>
                <c:pt idx="10">
                  <c:v>1918.83</c:v>
                </c:pt>
                <c:pt idx="11">
                  <c:v>1906.59</c:v>
                </c:pt>
                <c:pt idx="12">
                  <c:v>1997.59</c:v>
                </c:pt>
                <c:pt idx="13">
                  <c:v>2011.6</c:v>
                </c:pt>
                <c:pt idx="14">
                  <c:v>2043</c:v>
                </c:pt>
                <c:pt idx="15">
                  <c:v>2042.76</c:v>
                </c:pt>
                <c:pt idx="16">
                  <c:v>2168.87</c:v>
                </c:pt>
                <c:pt idx="17">
                  <c:v>2283.3200000000002</c:v>
                </c:pt>
                <c:pt idx="18">
                  <c:v>2307.6799999999998</c:v>
                </c:pt>
                <c:pt idx="19">
                  <c:v>2408.19</c:v>
                </c:pt>
                <c:pt idx="20">
                  <c:v>2375</c:v>
                </c:pt>
                <c:pt idx="21">
                  <c:v>2393.61</c:v>
                </c:pt>
                <c:pt idx="22">
                  <c:v>2328.12</c:v>
                </c:pt>
                <c:pt idx="23">
                  <c:v>2363.4899999999998</c:v>
                </c:pt>
                <c:pt idx="24">
                  <c:v>2399.4499999999998</c:v>
                </c:pt>
                <c:pt idx="25">
                  <c:v>2410.2199999999998</c:v>
                </c:pt>
                <c:pt idx="26">
                  <c:v>2376</c:v>
                </c:pt>
                <c:pt idx="27">
                  <c:v>2314.08</c:v>
                </c:pt>
                <c:pt idx="28">
                  <c:v>2372.71</c:v>
                </c:pt>
                <c:pt idx="29">
                  <c:v>2474</c:v>
                </c:pt>
                <c:pt idx="30">
                  <c:v>2286.04</c:v>
                </c:pt>
                <c:pt idx="31">
                  <c:v>2315.9899999999998</c:v>
                </c:pt>
                <c:pt idx="32">
                  <c:v>2317.8000000000002</c:v>
                </c:pt>
                <c:pt idx="33">
                  <c:v>2351.2600000000002</c:v>
                </c:pt>
                <c:pt idx="34">
                  <c:v>2367.61</c:v>
                </c:pt>
                <c:pt idx="35">
                  <c:v>2379.61</c:v>
                </c:pt>
                <c:pt idx="36">
                  <c:v>2409</c:v>
                </c:pt>
                <c:pt idx="37">
                  <c:v>2356.9499999999998</c:v>
                </c:pt>
                <c:pt idx="38">
                  <c:v>2367.92</c:v>
                </c:pt>
                <c:pt idx="39">
                  <c:v>2388.85</c:v>
                </c:pt>
                <c:pt idx="40">
                  <c:v>2409.7800000000002</c:v>
                </c:pt>
                <c:pt idx="41">
                  <c:v>2426.2600000000002</c:v>
                </c:pt>
                <c:pt idx="42">
                  <c:v>2449.33</c:v>
                </c:pt>
                <c:pt idx="43">
                  <c:v>2497.94</c:v>
                </c:pt>
                <c:pt idx="44">
                  <c:v>2446.7399999999998</c:v>
                </c:pt>
                <c:pt idx="45">
                  <c:v>2436.88</c:v>
                </c:pt>
                <c:pt idx="46">
                  <c:v>2421.86</c:v>
                </c:pt>
                <c:pt idx="47">
                  <c:v>2410.39</c:v>
                </c:pt>
                <c:pt idx="48">
                  <c:v>2401.1</c:v>
                </c:pt>
                <c:pt idx="49">
                  <c:v>2442.37</c:v>
                </c:pt>
                <c:pt idx="50">
                  <c:v>2471.04</c:v>
                </c:pt>
                <c:pt idx="51">
                  <c:v>2472.41</c:v>
                </c:pt>
                <c:pt idx="52">
                  <c:v>2478.4</c:v>
                </c:pt>
                <c:pt idx="53">
                  <c:v>2460.6</c:v>
                </c:pt>
                <c:pt idx="54">
                  <c:v>2483</c:v>
                </c:pt>
                <c:pt idx="55">
                  <c:v>2524.06</c:v>
                </c:pt>
                <c:pt idx="56">
                  <c:v>2600.86</c:v>
                </c:pt>
                <c:pt idx="57">
                  <c:v>2647.45</c:v>
                </c:pt>
                <c:pt idx="58">
                  <c:v>2557.96</c:v>
                </c:pt>
                <c:pt idx="59">
                  <c:v>2545.02</c:v>
                </c:pt>
                <c:pt idx="60">
                  <c:v>2572.6799999999998</c:v>
                </c:pt>
                <c:pt idx="61">
                  <c:v>2615.27</c:v>
                </c:pt>
                <c:pt idx="62">
                  <c:v>2640.98</c:v>
                </c:pt>
                <c:pt idx="63">
                  <c:v>2653.98</c:v>
                </c:pt>
                <c:pt idx="64">
                  <c:v>2675.01</c:v>
                </c:pt>
                <c:pt idx="65">
                  <c:v>2713.82</c:v>
                </c:pt>
                <c:pt idx="66">
                  <c:v>2764.41</c:v>
                </c:pt>
                <c:pt idx="67">
                  <c:v>2734.4</c:v>
                </c:pt>
                <c:pt idx="68">
                  <c:v>2754.58</c:v>
                </c:pt>
                <c:pt idx="69">
                  <c:v>2692.87</c:v>
                </c:pt>
                <c:pt idx="70">
                  <c:v>2680.38</c:v>
                </c:pt>
                <c:pt idx="71">
                  <c:v>2758.82</c:v>
                </c:pt>
                <c:pt idx="72">
                  <c:v>2878.7</c:v>
                </c:pt>
                <c:pt idx="73">
                  <c:v>2890.3</c:v>
                </c:pt>
                <c:pt idx="74">
                  <c:v>3057.04</c:v>
                </c:pt>
                <c:pt idx="75">
                  <c:v>3000.12</c:v>
                </c:pt>
                <c:pt idx="76">
                  <c:v>3081.11</c:v>
                </c:pt>
                <c:pt idx="77">
                  <c:v>3182.63</c:v>
                </c:pt>
                <c:pt idx="78">
                  <c:v>3200</c:v>
                </c:pt>
                <c:pt idx="79">
                  <c:v>3104</c:v>
                </c:pt>
                <c:pt idx="80">
                  <c:v>3084</c:v>
                </c:pt>
                <c:pt idx="81">
                  <c:v>3008.87</c:v>
                </c:pt>
                <c:pt idx="82">
                  <c:v>2999.9</c:v>
                </c:pt>
                <c:pt idx="83">
                  <c:v>2961.97</c:v>
                </c:pt>
                <c:pt idx="84">
                  <c:v>3196.84</c:v>
                </c:pt>
                <c:pt idx="85">
                  <c:v>3138.29</c:v>
                </c:pt>
                <c:pt idx="86">
                  <c:v>3099.91</c:v>
                </c:pt>
                <c:pt idx="87">
                  <c:v>2986.55</c:v>
                </c:pt>
                <c:pt idx="88">
                  <c:v>3008.91</c:v>
                </c:pt>
                <c:pt idx="89">
                  <c:v>3055.21</c:v>
                </c:pt>
                <c:pt idx="90">
                  <c:v>3000.33</c:v>
                </c:pt>
                <c:pt idx="91">
                  <c:v>3033.53</c:v>
                </c:pt>
                <c:pt idx="92">
                  <c:v>3051.88</c:v>
                </c:pt>
                <c:pt idx="93">
                  <c:v>3164.68</c:v>
                </c:pt>
                <c:pt idx="94">
                  <c:v>3111.89</c:v>
                </c:pt>
                <c:pt idx="95">
                  <c:v>3138.83</c:v>
                </c:pt>
                <c:pt idx="96">
                  <c:v>3205.03</c:v>
                </c:pt>
                <c:pt idx="97">
                  <c:v>3225</c:v>
                </c:pt>
                <c:pt idx="98">
                  <c:v>3167.46</c:v>
                </c:pt>
                <c:pt idx="99">
                  <c:v>3148.16</c:v>
                </c:pt>
                <c:pt idx="100">
                  <c:v>3080.67</c:v>
                </c:pt>
                <c:pt idx="101">
                  <c:v>3162.24</c:v>
                </c:pt>
                <c:pt idx="102">
                  <c:v>3161.02</c:v>
                </c:pt>
                <c:pt idx="103">
                  <c:v>3148.02</c:v>
                </c:pt>
                <c:pt idx="104">
                  <c:v>3182.41</c:v>
                </c:pt>
                <c:pt idx="105">
                  <c:v>3312.49</c:v>
                </c:pt>
                <c:pt idx="106">
                  <c:v>3260.48</c:v>
                </c:pt>
                <c:pt idx="107">
                  <c:v>3297.37</c:v>
                </c:pt>
                <c:pt idx="108">
                  <c:v>3284.72</c:v>
                </c:pt>
                <c:pt idx="109">
                  <c:v>3307.46</c:v>
                </c:pt>
                <c:pt idx="110">
                  <c:v>3346.49</c:v>
                </c:pt>
                <c:pt idx="111">
                  <c:v>3441.85</c:v>
                </c:pt>
                <c:pt idx="112">
                  <c:v>3400</c:v>
                </c:pt>
                <c:pt idx="113">
                  <c:v>3401.8</c:v>
                </c:pt>
                <c:pt idx="114">
                  <c:v>3450.96</c:v>
                </c:pt>
                <c:pt idx="115">
                  <c:v>3499.12</c:v>
                </c:pt>
                <c:pt idx="116">
                  <c:v>3531.45</c:v>
                </c:pt>
                <c:pt idx="117">
                  <c:v>3368</c:v>
                </c:pt>
                <c:pt idx="118">
                  <c:v>3294.62</c:v>
                </c:pt>
                <c:pt idx="119">
                  <c:v>3149.84</c:v>
                </c:pt>
                <c:pt idx="120">
                  <c:v>3268.61</c:v>
                </c:pt>
                <c:pt idx="121">
                  <c:v>3175.11</c:v>
                </c:pt>
                <c:pt idx="122">
                  <c:v>3116.22</c:v>
                </c:pt>
                <c:pt idx="123">
                  <c:v>3102.97</c:v>
                </c:pt>
                <c:pt idx="124">
                  <c:v>3156.13</c:v>
                </c:pt>
                <c:pt idx="125">
                  <c:v>3078.1</c:v>
                </c:pt>
                <c:pt idx="126">
                  <c:v>3008.73</c:v>
                </c:pt>
                <c:pt idx="127">
                  <c:v>2954.91</c:v>
                </c:pt>
                <c:pt idx="128">
                  <c:v>2960.47</c:v>
                </c:pt>
                <c:pt idx="129">
                  <c:v>3128.99</c:v>
                </c:pt>
                <c:pt idx="130">
                  <c:v>2999.86</c:v>
                </c:pt>
                <c:pt idx="131">
                  <c:v>3019.79</c:v>
                </c:pt>
                <c:pt idx="132">
                  <c:v>3095.13</c:v>
                </c:pt>
                <c:pt idx="133">
                  <c:v>3174.05</c:v>
                </c:pt>
                <c:pt idx="134">
                  <c:v>3144.88</c:v>
                </c:pt>
                <c:pt idx="135">
                  <c:v>3148.73</c:v>
                </c:pt>
                <c:pt idx="136">
                  <c:v>3221.26</c:v>
                </c:pt>
                <c:pt idx="137">
                  <c:v>3125</c:v>
                </c:pt>
                <c:pt idx="138">
                  <c:v>3199.2</c:v>
                </c:pt>
                <c:pt idx="139">
                  <c:v>3099.96</c:v>
                </c:pt>
                <c:pt idx="140">
                  <c:v>3195.69</c:v>
                </c:pt>
                <c:pt idx="141">
                  <c:v>3190.55</c:v>
                </c:pt>
                <c:pt idx="142">
                  <c:v>3286.65</c:v>
                </c:pt>
                <c:pt idx="143">
                  <c:v>3442.93</c:v>
                </c:pt>
                <c:pt idx="144">
                  <c:v>3443.63</c:v>
                </c:pt>
                <c:pt idx="145">
                  <c:v>3363.71</c:v>
                </c:pt>
                <c:pt idx="146">
                  <c:v>3338.65</c:v>
                </c:pt>
                <c:pt idx="147">
                  <c:v>3272.71</c:v>
                </c:pt>
                <c:pt idx="148">
                  <c:v>3207.21</c:v>
                </c:pt>
                <c:pt idx="149">
                  <c:v>3217.01</c:v>
                </c:pt>
                <c:pt idx="150">
                  <c:v>3184.94</c:v>
                </c:pt>
                <c:pt idx="151">
                  <c:v>3176.4</c:v>
                </c:pt>
                <c:pt idx="152">
                  <c:v>3204.4</c:v>
                </c:pt>
                <c:pt idx="153">
                  <c:v>3207.04</c:v>
                </c:pt>
                <c:pt idx="154">
                  <c:v>3286.33</c:v>
                </c:pt>
                <c:pt idx="155">
                  <c:v>3162.78</c:v>
                </c:pt>
                <c:pt idx="156">
                  <c:v>3211.01</c:v>
                </c:pt>
                <c:pt idx="157">
                  <c:v>3036.15</c:v>
                </c:pt>
                <c:pt idx="158">
                  <c:v>3004.48</c:v>
                </c:pt>
                <c:pt idx="159">
                  <c:v>3048.41</c:v>
                </c:pt>
                <c:pt idx="160">
                  <c:v>3241.16</c:v>
                </c:pt>
                <c:pt idx="161">
                  <c:v>3322</c:v>
                </c:pt>
                <c:pt idx="162">
                  <c:v>3311.37</c:v>
                </c:pt>
                <c:pt idx="163">
                  <c:v>3143.74</c:v>
                </c:pt>
                <c:pt idx="164">
                  <c:v>3035.02</c:v>
                </c:pt>
                <c:pt idx="165">
                  <c:v>3137.39</c:v>
                </c:pt>
                <c:pt idx="166">
                  <c:v>3110.28</c:v>
                </c:pt>
                <c:pt idx="167">
                  <c:v>3128.81</c:v>
                </c:pt>
                <c:pt idx="168">
                  <c:v>3131.06</c:v>
                </c:pt>
                <c:pt idx="169">
                  <c:v>3135.66</c:v>
                </c:pt>
                <c:pt idx="170">
                  <c:v>3105.46</c:v>
                </c:pt>
                <c:pt idx="171">
                  <c:v>3117.02</c:v>
                </c:pt>
                <c:pt idx="172">
                  <c:v>3099.4</c:v>
                </c:pt>
                <c:pt idx="173">
                  <c:v>3098.39</c:v>
                </c:pt>
                <c:pt idx="174">
                  <c:v>3118.06</c:v>
                </c:pt>
                <c:pt idx="175">
                  <c:v>3185.07</c:v>
                </c:pt>
                <c:pt idx="176">
                  <c:v>3195.34</c:v>
                </c:pt>
                <c:pt idx="177">
                  <c:v>3168.04</c:v>
                </c:pt>
                <c:pt idx="178">
                  <c:v>3220.08</c:v>
                </c:pt>
                <c:pt idx="179">
                  <c:v>3203.53</c:v>
                </c:pt>
                <c:pt idx="180">
                  <c:v>3186.73</c:v>
                </c:pt>
                <c:pt idx="181">
                  <c:v>3162.58</c:v>
                </c:pt>
                <c:pt idx="182">
                  <c:v>3158</c:v>
                </c:pt>
                <c:pt idx="183">
                  <c:v>3177.29</c:v>
                </c:pt>
                <c:pt idx="184">
                  <c:v>3104.2</c:v>
                </c:pt>
                <c:pt idx="185">
                  <c:v>3101.49</c:v>
                </c:pt>
                <c:pt idx="186">
                  <c:v>3116.42</c:v>
                </c:pt>
                <c:pt idx="187">
                  <c:v>3156.97</c:v>
                </c:pt>
                <c:pt idx="188">
                  <c:v>3165.12</c:v>
                </c:pt>
                <c:pt idx="189">
                  <c:v>3240.96</c:v>
                </c:pt>
                <c:pt idx="190">
                  <c:v>3236.08</c:v>
                </c:pt>
                <c:pt idx="191">
                  <c:v>3201.65</c:v>
                </c:pt>
                <c:pt idx="192">
                  <c:v>3206.18</c:v>
                </c:pt>
                <c:pt idx="193">
                  <c:v>3206.52</c:v>
                </c:pt>
                <c:pt idx="194">
                  <c:v>3185.27</c:v>
                </c:pt>
                <c:pt idx="195">
                  <c:v>3172.69</c:v>
                </c:pt>
                <c:pt idx="196">
                  <c:v>3283.96</c:v>
                </c:pt>
                <c:pt idx="197">
                  <c:v>3322</c:v>
                </c:pt>
                <c:pt idx="198">
                  <c:v>3285.85</c:v>
                </c:pt>
                <c:pt idx="199">
                  <c:v>3256.93</c:v>
                </c:pt>
                <c:pt idx="200">
                  <c:v>3186.63</c:v>
                </c:pt>
                <c:pt idx="201">
                  <c:v>3218.51</c:v>
                </c:pt>
                <c:pt idx="202">
                  <c:v>3138.38</c:v>
                </c:pt>
                <c:pt idx="203">
                  <c:v>3162.16</c:v>
                </c:pt>
                <c:pt idx="204">
                  <c:v>3182.7</c:v>
                </c:pt>
                <c:pt idx="205">
                  <c:v>3114.21</c:v>
                </c:pt>
                <c:pt idx="206">
                  <c:v>3120.83</c:v>
                </c:pt>
                <c:pt idx="207">
                  <c:v>3165.89</c:v>
                </c:pt>
                <c:pt idx="208">
                  <c:v>3127.47</c:v>
                </c:pt>
                <c:pt idx="209">
                  <c:v>3104.25</c:v>
                </c:pt>
                <c:pt idx="210">
                  <c:v>3120.76</c:v>
                </c:pt>
                <c:pt idx="211">
                  <c:v>3263.38</c:v>
                </c:pt>
                <c:pt idx="212">
                  <c:v>3306.99</c:v>
                </c:pt>
                <c:pt idx="213">
                  <c:v>3292.23</c:v>
                </c:pt>
                <c:pt idx="214">
                  <c:v>3294</c:v>
                </c:pt>
                <c:pt idx="215">
                  <c:v>3326.13</c:v>
                </c:pt>
                <c:pt idx="216">
                  <c:v>3232.58</c:v>
                </c:pt>
                <c:pt idx="217">
                  <c:v>3237.62</c:v>
                </c:pt>
                <c:pt idx="218">
                  <c:v>3206.2</c:v>
                </c:pt>
                <c:pt idx="219">
                  <c:v>3342.88</c:v>
                </c:pt>
                <c:pt idx="220">
                  <c:v>3380</c:v>
                </c:pt>
                <c:pt idx="221">
                  <c:v>3312.53</c:v>
                </c:pt>
                <c:pt idx="222">
                  <c:v>3331</c:v>
                </c:pt>
                <c:pt idx="223">
                  <c:v>3352.15</c:v>
                </c:pt>
                <c:pt idx="224">
                  <c:v>3322.94</c:v>
                </c:pt>
                <c:pt idx="225">
                  <c:v>3305</c:v>
                </c:pt>
                <c:pt idx="226">
                  <c:v>3286.58</c:v>
                </c:pt>
                <c:pt idx="227">
                  <c:v>3262.13</c:v>
                </c:pt>
                <c:pt idx="228">
                  <c:v>3277.71</c:v>
                </c:pt>
                <c:pt idx="229">
                  <c:v>3268.95</c:v>
                </c:pt>
                <c:pt idx="230">
                  <c:v>3308.64</c:v>
                </c:pt>
                <c:pt idx="231">
                  <c:v>3328.23</c:v>
                </c:pt>
                <c:pt idx="232">
                  <c:v>3249.9</c:v>
                </c:pt>
                <c:pt idx="233">
                  <c:v>3180.74</c:v>
                </c:pt>
                <c:pt idx="234">
                  <c:v>3194.5</c:v>
                </c:pt>
                <c:pt idx="235">
                  <c:v>3159.53</c:v>
                </c:pt>
                <c:pt idx="236">
                  <c:v>3057.16</c:v>
                </c:pt>
                <c:pt idx="237">
                  <c:v>3092.93</c:v>
                </c:pt>
                <c:pt idx="238">
                  <c:v>3146.14</c:v>
                </c:pt>
                <c:pt idx="239">
                  <c:v>3094.53</c:v>
                </c:pt>
                <c:pt idx="240">
                  <c:v>3005</c:v>
                </c:pt>
                <c:pt idx="241">
                  <c:v>2977.57</c:v>
                </c:pt>
                <c:pt idx="242">
                  <c:v>3000.46</c:v>
                </c:pt>
                <c:pt idx="243">
                  <c:v>2951.95</c:v>
                </c:pt>
                <c:pt idx="244">
                  <c:v>3062.85</c:v>
                </c:pt>
                <c:pt idx="245">
                  <c:v>3057.64</c:v>
                </c:pt>
                <c:pt idx="246">
                  <c:v>3113.59</c:v>
                </c:pt>
                <c:pt idx="247">
                  <c:v>3089.49</c:v>
                </c:pt>
                <c:pt idx="248">
                  <c:v>3081.68</c:v>
                </c:pt>
                <c:pt idx="249">
                  <c:v>3091.86</c:v>
                </c:pt>
                <c:pt idx="250">
                  <c:v>3135.73</c:v>
                </c:pt>
                <c:pt idx="251">
                  <c:v>3027.99</c:v>
                </c:pt>
                <c:pt idx="252">
                  <c:v>3074.96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58-41D9-9430-84231C2D90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0830479"/>
        <c:axId val="1530828559"/>
      </c:lineChart>
      <c:dateAx>
        <c:axId val="1530830479"/>
        <c:scaling>
          <c:orientation val="minMax"/>
        </c:scaling>
        <c:delete val="0"/>
        <c:axPos val="b"/>
        <c:numFmt formatCode="mmm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0828559"/>
        <c:crosses val="autoZero"/>
        <c:auto val="1"/>
        <c:lblOffset val="100"/>
        <c:baseTimeUnit val="days"/>
      </c:dateAx>
      <c:valAx>
        <c:axId val="1530828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ash"/>
              <a:round/>
            </a:ln>
            <a:effectLst/>
          </c:spPr>
        </c:majorGridlines>
        <c:numFmt formatCode="_(#,##0_);\(#,##0\);_(&quot;–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0830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</cx:f>
      </cx:strDim>
      <cx:numDim type="val">
        <cx:f>_xlchart.v1.2</cx:f>
      </cx:numDim>
    </cx:data>
  </cx:chartData>
  <cx:chart>
    <cx:plotArea>
      <cx:plotAreaRegion>
        <cx:series layoutId="waterfall" uniqueId="{09FEF1FC-10B9-457D-A5A5-CBB467B4C4A0}">
          <cx:dataPt idx="0">
            <cx:spPr>
              <a:solidFill>
                <a:srgbClr val="F6F6F6"/>
              </a:solidFill>
            </cx:spPr>
          </cx:dataPt>
          <cx:dataPt idx="1">
            <cx:spPr>
              <a:solidFill>
                <a:srgbClr val="A3A3A3"/>
              </a:solidFill>
            </cx:spPr>
          </cx:dataPt>
          <cx:dataPt idx="2">
            <cx:spPr>
              <a:solidFill>
                <a:srgbClr val="3271D2"/>
              </a:solidFill>
            </cx:spPr>
          </cx:dataPt>
          <cx:dataPt idx="3">
            <cx:spPr>
              <a:solidFill>
                <a:srgbClr val="1B3E70"/>
              </a:solidFill>
            </cx:spPr>
          </cx:dataPt>
          <cx:dataLabels pos="outEnd">
            <cx:visibility seriesName="0" categoryName="0" value="1"/>
          </cx:dataLabels>
          <cx:dataId val="0"/>
          <cx:layoutPr>
            <cx:subtotals>
              <cx:idx val="3"/>
            </cx:subtotals>
          </cx:layoutPr>
        </cx:series>
      </cx:plotAreaRegion>
      <cx:axis id="0">
        <cx:catScaling gapWidth="0.5"/>
        <cx:tickLabels/>
      </cx:axis>
      <cx:axis id="1" hidden="1">
        <cx:valScaling/>
        <cx:tickLabels/>
      </cx:axis>
    </cx:plotArea>
  </cx:chart>
  <cx:spPr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1.png"/><Relationship Id="rId1" Type="http://schemas.openxmlformats.org/officeDocument/2006/relationships/hyperlink" Target="https://corporatefinanceinstitute.com/" TargetMode="External"/><Relationship Id="rId6" Type="http://schemas.openxmlformats.org/officeDocument/2006/relationships/chart" Target="../charts/chart3.xml"/><Relationship Id="rId5" Type="http://schemas.microsoft.com/office/2014/relationships/chartEx" Target="../charts/chartEx1.xml"/><Relationship Id="rId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1.png"/><Relationship Id="rId1" Type="http://schemas.openxmlformats.org/officeDocument/2006/relationships/hyperlink" Target="https://corporatefinanceinstitute.com/" TargetMode="Externa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image" Target="../media/image1.png"/><Relationship Id="rId1" Type="http://schemas.openxmlformats.org/officeDocument/2006/relationships/hyperlink" Target="https://corporatefinanceinstitute.com/" TargetMode="Externa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130967</xdr:colOff>
      <xdr:row>0</xdr:row>
      <xdr:rowOff>138154</xdr:rowOff>
    </xdr:from>
    <xdr:ext cx="1169762" cy="354142"/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21D2F5-7F3B-4107-9BEE-3A383EE259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0567" y="138154"/>
          <a:ext cx="1169762" cy="354142"/>
        </a:xfrm>
        <a:prstGeom prst="rect">
          <a:avLst/>
        </a:prstGeom>
      </xdr:spPr>
    </xdr:pic>
    <xdr:clientData/>
  </xdr:oneCellAnchor>
  <xdr:twoCellAnchor>
    <xdr:from>
      <xdr:col>0</xdr:col>
      <xdr:colOff>433386</xdr:colOff>
      <xdr:row>9</xdr:row>
      <xdr:rowOff>4762</xdr:rowOff>
    </xdr:from>
    <xdr:to>
      <xdr:col>6</xdr:col>
      <xdr:colOff>28574</xdr:colOff>
      <xdr:row>22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CAB73D7-849C-3CC6-684C-4695F2804F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328612</xdr:colOff>
      <xdr:row>8</xdr:row>
      <xdr:rowOff>128587</xdr:rowOff>
    </xdr:from>
    <xdr:to>
      <xdr:col>13</xdr:col>
      <xdr:colOff>38100</xdr:colOff>
      <xdr:row>23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6B0A2B0-4B78-3FF2-A433-6DE0B42BDE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242887</xdr:colOff>
      <xdr:row>25</xdr:row>
      <xdr:rowOff>80962</xdr:rowOff>
    </xdr:from>
    <xdr:to>
      <xdr:col>6</xdr:col>
      <xdr:colOff>252412</xdr:colOff>
      <xdr:row>39</xdr:row>
      <xdr:rowOff>157162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DF6C2471-3317-A7AF-5E9A-DDFB53CE35E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2887" y="528161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338136</xdr:colOff>
      <xdr:row>25</xdr:row>
      <xdr:rowOff>119062</xdr:rowOff>
    </xdr:from>
    <xdr:to>
      <xdr:col>13</xdr:col>
      <xdr:colOff>19049</xdr:colOff>
      <xdr:row>39</xdr:row>
      <xdr:rowOff>180975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7E33F88-E553-75E9-7D49-65E9919AFE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130967</xdr:colOff>
      <xdr:row>0</xdr:row>
      <xdr:rowOff>138154</xdr:rowOff>
    </xdr:from>
    <xdr:ext cx="1169762" cy="354142"/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3CFAB1C-BD57-49B5-A822-2AD16A5480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7692" y="138154"/>
          <a:ext cx="1169762" cy="354142"/>
        </a:xfrm>
        <a:prstGeom prst="rect">
          <a:avLst/>
        </a:prstGeom>
      </xdr:spPr>
    </xdr:pic>
    <xdr:clientData/>
  </xdr:oneCellAnchor>
  <xdr:twoCellAnchor>
    <xdr:from>
      <xdr:col>26</xdr:col>
      <xdr:colOff>242455</xdr:colOff>
      <xdr:row>2</xdr:row>
      <xdr:rowOff>173181</xdr:rowOff>
    </xdr:from>
    <xdr:to>
      <xdr:col>31</xdr:col>
      <xdr:colOff>467590</xdr:colOff>
      <xdr:row>21</xdr:row>
      <xdr:rowOff>173180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9F2CCA1-BDCC-4937-B7C7-2777D889197E}"/>
            </a:ext>
          </a:extLst>
        </xdr:cNvPr>
        <xdr:cNvSpPr txBox="1"/>
      </xdr:nvSpPr>
      <xdr:spPr>
        <a:xfrm>
          <a:off x="18669000" y="987136"/>
          <a:ext cx="3948545" cy="36194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20000"/>
            </a:lnSpc>
            <a:spcBef>
              <a:spcPts val="60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CA" sz="900">
              <a:solidFill>
                <a:schemeClr val="dk1"/>
              </a:solidFill>
              <a:effectLst/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NAMEHERE was founded in 2005 and is headquartered in New York, NY, USA.</a:t>
          </a:r>
          <a:r>
            <a:rPr lang="en-US" sz="900" baseline="0">
              <a:solidFill>
                <a:schemeClr val="dk1"/>
              </a:solidFill>
              <a:effectLst/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 It is </a:t>
          </a:r>
          <a:r>
            <a:rPr lang="en-CA" sz="900"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a global retailer of consumer products and subscriptions. </a:t>
          </a:r>
        </a:p>
        <a:p>
          <a:pPr marL="0" marR="0" lvl="0" indent="0" defTabSz="914400" eaLnBrk="1" fontAlgn="auto" latinLnBrk="0" hangingPunct="1">
            <a:lnSpc>
              <a:spcPct val="120000"/>
            </a:lnSpc>
            <a:spcBef>
              <a:spcPts val="60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CA" sz="900"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The company operates through three segments: North America, Europe, and International. It's business activities include:</a:t>
          </a:r>
        </a:p>
        <a:p>
          <a:pPr marL="360000" lvl="1" indent="-171450">
            <a:lnSpc>
              <a:spcPct val="120000"/>
            </a:lnSpc>
            <a:spcBef>
              <a:spcPts val="300"/>
            </a:spcBef>
            <a:buFont typeface="Arial" panose="020B0604020202020204" pitchFamily="34" charset="0"/>
            <a:buChar char="•"/>
          </a:pPr>
          <a:r>
            <a:rPr lang="en-CA" sz="900"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Selling merchandise and content purchased for resale from third-party sellers through physical and online stores</a:t>
          </a:r>
        </a:p>
        <a:p>
          <a:pPr marL="360000" lvl="1" indent="-171450">
            <a:lnSpc>
              <a:spcPct val="120000"/>
            </a:lnSpc>
            <a:spcBef>
              <a:spcPts val="300"/>
            </a:spcBef>
            <a:buFont typeface="Arial" panose="020B0604020202020204" pitchFamily="34" charset="0"/>
            <a:buChar char="•"/>
          </a:pPr>
          <a:r>
            <a:rPr lang="en-CA" sz="900"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Offering programs that enable sellers to sell their products and content on its websites and</a:t>
          </a:r>
          <a:r>
            <a:rPr lang="en-CA" sz="900" baseline="0"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 </a:t>
          </a:r>
          <a:r>
            <a:rPr lang="en-CA" sz="900"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its stores</a:t>
          </a:r>
        </a:p>
        <a:p>
          <a:pPr marL="360000" lvl="1" indent="-171450">
            <a:lnSpc>
              <a:spcPct val="120000"/>
            </a:lnSpc>
            <a:spcBef>
              <a:spcPts val="300"/>
            </a:spcBef>
            <a:buFont typeface="Arial" panose="020B0604020202020204" pitchFamily="34" charset="0"/>
            <a:buChar char="•"/>
          </a:pPr>
          <a:r>
            <a:rPr lang="en-CA" sz="900"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Manufacturing and selling electronic devices and developing and producing media content</a:t>
          </a:r>
        </a:p>
        <a:p>
          <a:pPr marL="360000" lvl="1" indent="-171450">
            <a:lnSpc>
              <a:spcPct val="120000"/>
            </a:lnSpc>
            <a:spcBef>
              <a:spcPts val="300"/>
            </a:spcBef>
            <a:buFont typeface="Arial" panose="020B0604020202020204" pitchFamily="34" charset="0"/>
            <a:buChar char="•"/>
          </a:pPr>
          <a:r>
            <a:rPr lang="en-CA" sz="900"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Providing compute, storage, database, and other services, as well as fulfillment, advertising, publishing, and digital content subscriptions</a:t>
          </a:r>
        </a:p>
        <a:p>
          <a:pPr marL="360000" lvl="1" indent="-171450">
            <a:lnSpc>
              <a:spcPct val="120000"/>
            </a:lnSpc>
            <a:spcBef>
              <a:spcPts val="300"/>
            </a:spcBef>
            <a:buFont typeface="Arial" panose="020B0604020202020204" pitchFamily="34" charset="0"/>
            <a:buChar char="•"/>
          </a:pPr>
          <a:r>
            <a:rPr lang="en-CA" sz="900"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Offering a membership program, which provides free shipping of various items; </a:t>
          </a:r>
        </a:p>
      </xdr:txBody>
    </xdr:sp>
    <xdr:clientData/>
  </xdr:twoCellAnchor>
  <xdr:twoCellAnchor>
    <xdr:from>
      <xdr:col>0</xdr:col>
      <xdr:colOff>695326</xdr:colOff>
      <xdr:row>6</xdr:row>
      <xdr:rowOff>171450</xdr:rowOff>
    </xdr:from>
    <xdr:to>
      <xdr:col>19</xdr:col>
      <xdr:colOff>28575</xdr:colOff>
      <xdr:row>17</xdr:row>
      <xdr:rowOff>47625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B46CFFC-F816-EA62-68D0-867F1F246E55}"/>
            </a:ext>
          </a:extLst>
        </xdr:cNvPr>
        <xdr:cNvSpPr txBox="1"/>
      </xdr:nvSpPr>
      <xdr:spPr>
        <a:xfrm>
          <a:off x="695326" y="1752600"/>
          <a:ext cx="11991974" cy="19716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eaLnBrk="1" fontAlgn="auto" latinLnBrk="0" hangingPunct="1"/>
          <a:r>
            <a:rPr lang="en-CA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NAMEHERE was founded in 2005 and is headquartered in New York, NY, USA.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It is </a:t>
          </a:r>
          <a:r>
            <a:rPr lang="en-CA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global retailer of consumer products and subscriptions. </a:t>
          </a:r>
        </a:p>
        <a:p>
          <a:pPr eaLnBrk="1" fontAlgn="auto" latinLnBrk="0" hangingPunct="1"/>
          <a:endParaRPr lang="en-CA">
            <a:effectLst/>
          </a:endParaRPr>
        </a:p>
        <a:p>
          <a:pPr eaLnBrk="1" fontAlgn="auto" latinLnBrk="0" hangingPunct="1"/>
          <a:r>
            <a:rPr lang="en-CA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company operates through three segments: North America, Europe, and International. It's business activities include:</a:t>
          </a:r>
          <a:endParaRPr lang="en-CA">
            <a:effectLst/>
          </a:endParaRPr>
        </a:p>
        <a:p>
          <a:r>
            <a:rPr lang="en-CA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-Selling merchandise and content purchased for resale from third-party sellers through physical and online stores</a:t>
          </a:r>
          <a:endParaRPr lang="en-CA">
            <a:effectLst/>
          </a:endParaRPr>
        </a:p>
        <a:p>
          <a:r>
            <a:rPr lang="en-CA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-Offering programs that enable sellers to sell their products and content on its websites and</a:t>
          </a:r>
          <a:r>
            <a:rPr lang="en-CA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CA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its stores</a:t>
          </a:r>
          <a:endParaRPr lang="en-CA">
            <a:effectLst/>
          </a:endParaRPr>
        </a:p>
        <a:p>
          <a:r>
            <a:rPr lang="en-CA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-Manufacturing and selling electronic devices and developing and producing media content</a:t>
          </a:r>
          <a:endParaRPr lang="en-CA">
            <a:effectLst/>
          </a:endParaRPr>
        </a:p>
        <a:p>
          <a:r>
            <a:rPr lang="en-CA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-Providing compute, storage, database, and other services, as well as fulfillment, advertising, publishing, and digital content subscriptions</a:t>
          </a:r>
          <a:endParaRPr lang="en-CA">
            <a:effectLst/>
          </a:endParaRPr>
        </a:p>
        <a:p>
          <a:r>
            <a:rPr lang="en-CA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-Offering a membership program, which provides free shipping of various items; </a:t>
          </a:r>
          <a:endParaRPr lang="en-CA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704849</xdr:colOff>
          <xdr:row>19</xdr:row>
          <xdr:rowOff>85724</xdr:rowOff>
        </xdr:from>
        <xdr:to>
          <xdr:col>9</xdr:col>
          <xdr:colOff>93024</xdr:colOff>
          <xdr:row>35</xdr:row>
          <xdr:rowOff>152399</xdr:rowOff>
        </xdr:to>
        <xdr:pic>
          <xdr:nvPicPr>
            <xdr:cNvPr id="6" name="Picture 5">
              <a:extLst>
                <a:ext uri="{FF2B5EF4-FFF2-40B4-BE49-F238E27FC236}">
                  <a16:creationId xmlns:a16="http://schemas.microsoft.com/office/drawing/2014/main" id="{9A8BE4F6-0765-5EDD-3284-D7B05DD0D10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Chart!$E$10:$L$25" spid="_x0000_s2102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704849" y="4143374"/>
              <a:ext cx="5588950" cy="311467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>
    <xdr:from>
      <xdr:col>9</xdr:col>
      <xdr:colOff>609599</xdr:colOff>
      <xdr:row>19</xdr:row>
      <xdr:rowOff>147636</xdr:rowOff>
    </xdr:from>
    <xdr:to>
      <xdr:col>19</xdr:col>
      <xdr:colOff>47624</xdr:colOff>
      <xdr:row>35</xdr:row>
      <xdr:rowOff>38099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404C94A-28B6-D23A-A903-7CC5E69181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381000</xdr:colOff>
      <xdr:row>20</xdr:row>
      <xdr:rowOff>114300</xdr:rowOff>
    </xdr:from>
    <xdr:to>
      <xdr:col>15</xdr:col>
      <xdr:colOff>390525</xdr:colOff>
      <xdr:row>33</xdr:row>
      <xdr:rowOff>66675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DE24109-B619-D723-F235-2924B553449A}"/>
            </a:ext>
          </a:extLst>
        </xdr:cNvPr>
        <xdr:cNvCxnSpPr/>
      </xdr:nvCxnSpPr>
      <xdr:spPr>
        <a:xfrm flipH="1">
          <a:off x="10448925" y="4362450"/>
          <a:ext cx="9525" cy="2428875"/>
        </a:xfrm>
        <a:prstGeom prst="line">
          <a:avLst/>
        </a:prstGeom>
        <a:ln>
          <a:solidFill>
            <a:srgbClr val="EB6105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219075</xdr:colOff>
      <xdr:row>20</xdr:row>
      <xdr:rowOff>123825</xdr:rowOff>
    </xdr:from>
    <xdr:to>
      <xdr:col>16</xdr:col>
      <xdr:colOff>238125</xdr:colOff>
      <xdr:row>33</xdr:row>
      <xdr:rowOff>57150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EC4F2A2D-911B-64EA-9B28-73381140FC22}"/>
            </a:ext>
          </a:extLst>
        </xdr:cNvPr>
        <xdr:cNvCxnSpPr/>
      </xdr:nvCxnSpPr>
      <xdr:spPr>
        <a:xfrm>
          <a:off x="10934700" y="4371975"/>
          <a:ext cx="19050" cy="2409825"/>
        </a:xfrm>
        <a:prstGeom prst="line">
          <a:avLst/>
        </a:prstGeom>
        <a:ln>
          <a:solidFill>
            <a:srgbClr val="EB6105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123825</xdr:colOff>
      <xdr:row>19</xdr:row>
      <xdr:rowOff>57150</xdr:rowOff>
    </xdr:from>
    <xdr:to>
      <xdr:col>17</xdr:col>
      <xdr:colOff>600075</xdr:colOff>
      <xdr:row>21</xdr:row>
      <xdr:rowOff>38100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BE69F58D-FB74-B69F-D262-3AFF8B39EEBB}"/>
            </a:ext>
          </a:extLst>
        </xdr:cNvPr>
        <xdr:cNvSpPr txBox="1"/>
      </xdr:nvSpPr>
      <xdr:spPr>
        <a:xfrm>
          <a:off x="10191750" y="4114800"/>
          <a:ext cx="17716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800">
              <a:solidFill>
                <a:srgbClr val="EB6105"/>
              </a:solidFill>
            </a:rPr>
            <a:t>Recommended Range</a:t>
          </a:r>
        </a:p>
      </xdr:txBody>
    </xdr:sp>
    <xdr:clientData/>
  </xdr:twoCellAnchor>
  <xdr:twoCellAnchor>
    <xdr:from>
      <xdr:col>0</xdr:col>
      <xdr:colOff>676274</xdr:colOff>
      <xdr:row>39</xdr:row>
      <xdr:rowOff>157161</xdr:rowOff>
    </xdr:from>
    <xdr:to>
      <xdr:col>9</xdr:col>
      <xdr:colOff>19050</xdr:colOff>
      <xdr:row>57</xdr:row>
      <xdr:rowOff>180975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6AF40B0A-1399-CDCA-65E1-C6D5A2E469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581024</xdr:colOff>
      <xdr:row>39</xdr:row>
      <xdr:rowOff>142876</xdr:rowOff>
    </xdr:from>
    <xdr:to>
      <xdr:col>19</xdr:col>
      <xdr:colOff>19049</xdr:colOff>
      <xdr:row>59</xdr:row>
      <xdr:rowOff>76200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FB3655F4-DBE5-9330-CE29-15517ED150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266700</xdr:colOff>
      <xdr:row>43</xdr:row>
      <xdr:rowOff>9525</xdr:rowOff>
    </xdr:from>
    <xdr:to>
      <xdr:col>19</xdr:col>
      <xdr:colOff>457200</xdr:colOff>
      <xdr:row>44</xdr:row>
      <xdr:rowOff>19050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58797247-4CD0-FE72-3F25-39E7882D1DA6}"/>
            </a:ext>
          </a:extLst>
        </xdr:cNvPr>
        <xdr:cNvSpPr txBox="1"/>
      </xdr:nvSpPr>
      <xdr:spPr>
        <a:xfrm>
          <a:off x="12277725" y="8639175"/>
          <a:ext cx="838200" cy="200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000" b="1">
              <a:solidFill>
                <a:srgbClr val="1B3E70"/>
              </a:solidFill>
            </a:rPr>
            <a:t>EBITDA</a:t>
          </a:r>
        </a:p>
      </xdr:txBody>
    </xdr:sp>
    <xdr:clientData/>
  </xdr:twoCellAnchor>
  <xdr:twoCellAnchor>
    <xdr:from>
      <xdr:col>18</xdr:col>
      <xdr:colOff>323850</xdr:colOff>
      <xdr:row>48</xdr:row>
      <xdr:rowOff>142875</xdr:rowOff>
    </xdr:from>
    <xdr:to>
      <xdr:col>19</xdr:col>
      <xdr:colOff>514350</xdr:colOff>
      <xdr:row>49</xdr:row>
      <xdr:rowOff>152400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723BD376-746F-5B00-1808-20140FEBF5E4}"/>
            </a:ext>
          </a:extLst>
        </xdr:cNvPr>
        <xdr:cNvSpPr txBox="1"/>
      </xdr:nvSpPr>
      <xdr:spPr>
        <a:xfrm>
          <a:off x="12334875" y="9725025"/>
          <a:ext cx="838200" cy="200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000" b="1">
              <a:solidFill>
                <a:srgbClr val="3271D2"/>
              </a:solidFill>
            </a:rPr>
            <a:t>FCFF</a:t>
          </a:r>
        </a:p>
      </xdr:txBody>
    </xdr:sp>
    <xdr:clientData/>
  </xdr:twoCellAnchor>
  <xdr:twoCellAnchor>
    <xdr:from>
      <xdr:col>18</xdr:col>
      <xdr:colOff>314325</xdr:colOff>
      <xdr:row>52</xdr:row>
      <xdr:rowOff>0</xdr:rowOff>
    </xdr:from>
    <xdr:to>
      <xdr:col>19</xdr:col>
      <xdr:colOff>504825</xdr:colOff>
      <xdr:row>53</xdr:row>
      <xdr:rowOff>9525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AB190A4A-D423-EA46-C265-80411AEDA01C}"/>
            </a:ext>
          </a:extLst>
        </xdr:cNvPr>
        <xdr:cNvSpPr txBox="1"/>
      </xdr:nvSpPr>
      <xdr:spPr>
        <a:xfrm>
          <a:off x="12325350" y="10344150"/>
          <a:ext cx="838200" cy="200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000" b="1">
              <a:solidFill>
                <a:srgbClr val="D4D4D4"/>
              </a:solidFill>
            </a:rPr>
            <a:t>Net Income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130967</xdr:colOff>
      <xdr:row>0</xdr:row>
      <xdr:rowOff>138154</xdr:rowOff>
    </xdr:from>
    <xdr:ext cx="1169762" cy="354142"/>
    <xdr:pic>
      <xdr:nvPicPr>
        <xdr:cNvPr id="6" name="Pictur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F02A608-3E68-4985-835C-52ACC7210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5342" y="138154"/>
          <a:ext cx="1169762" cy="354142"/>
        </a:xfrm>
        <a:prstGeom prst="rect">
          <a:avLst/>
        </a:prstGeom>
      </xdr:spPr>
    </xdr:pic>
    <xdr:clientData/>
  </xdr:oneCellAnchor>
  <xdr:twoCellAnchor>
    <xdr:from>
      <xdr:col>3</xdr:col>
      <xdr:colOff>485775</xdr:colOff>
      <xdr:row>8</xdr:row>
      <xdr:rowOff>171449</xdr:rowOff>
    </xdr:from>
    <xdr:to>
      <xdr:col>11</xdr:col>
      <xdr:colOff>666750</xdr:colOff>
      <xdr:row>24</xdr:row>
      <xdr:rowOff>180974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17D6364-91D8-49F9-8D12-450EB0C0B8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vmlDrawing" Target="../drawings/vmlDrawing3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68072-5782-4C11-B611-FF3C4469E71F}">
  <sheetPr>
    <pageSetUpPr autoPageBreaks="0"/>
  </sheetPr>
  <dimension ref="A1:AA75"/>
  <sheetViews>
    <sheetView showGridLines="0" tabSelected="1" zoomScaleNormal="100" zoomScaleSheetLayoutView="75" workbookViewId="0">
      <pane ySplit="1" topLeftCell="A2" activePane="bottomLeft" state="frozen"/>
      <selection activeCell="D26" sqref="D26"/>
      <selection pane="bottomLeft" activeCell="A2" sqref="A2"/>
    </sheetView>
  </sheetViews>
  <sheetFormatPr defaultColWidth="9.140625" defaultRowHeight="15" customHeight="1" outlineLevelRow="1" x14ac:dyDescent="0.3"/>
  <cols>
    <col min="1" max="1" width="7" style="1" customWidth="1"/>
    <col min="2" max="6" width="12.28515625" style="1" customWidth="1"/>
    <col min="7" max="7" width="5.140625" style="1" customWidth="1"/>
    <col min="8" max="13" width="12.28515625" style="1" customWidth="1"/>
    <col min="14" max="14" width="8.28515625" style="1" customWidth="1"/>
    <col min="15" max="15" width="11.140625" style="1" bestFit="1" customWidth="1"/>
    <col min="16" max="20" width="9.140625" style="30" customWidth="1"/>
    <col min="21" max="27" width="11.7109375" style="30" customWidth="1"/>
    <col min="28" max="16384" width="9.140625" style="1"/>
  </cols>
  <sheetData>
    <row r="1" spans="1:27" ht="50.1" customHeight="1" x14ac:dyDescent="0.3">
      <c r="A1" s="4"/>
      <c r="B1" s="15"/>
      <c r="C1" s="15"/>
      <c r="D1" s="15"/>
      <c r="E1" s="16"/>
      <c r="F1" s="15"/>
      <c r="G1" s="15"/>
      <c r="H1" s="15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4"/>
      <c r="AA1" s="4"/>
    </row>
    <row r="2" spans="1:27" ht="15" customHeight="1" x14ac:dyDescent="0.3">
      <c r="A2" s="4"/>
      <c r="B2" s="4"/>
      <c r="C2" s="4"/>
      <c r="D2" s="4"/>
      <c r="E2" s="45"/>
      <c r="F2" s="4"/>
      <c r="G2" s="4"/>
      <c r="H2" s="4"/>
      <c r="I2" s="4"/>
      <c r="J2" s="4"/>
      <c r="K2" s="4"/>
      <c r="L2" s="4"/>
      <c r="M2" s="4"/>
      <c r="N2" s="4"/>
      <c r="O2" s="46"/>
    </row>
    <row r="3" spans="1:27" s="18" customFormat="1" ht="15" customHeight="1" x14ac:dyDescent="0.3">
      <c r="A3" s="18" t="s">
        <v>78</v>
      </c>
      <c r="B3" s="8" t="s">
        <v>76</v>
      </c>
      <c r="C3" s="9"/>
      <c r="D3" s="10"/>
      <c r="E3" s="11"/>
      <c r="F3" s="12"/>
      <c r="G3" s="12"/>
      <c r="H3" s="12"/>
      <c r="I3" s="12"/>
      <c r="J3" s="12"/>
      <c r="K3" s="12"/>
      <c r="L3" s="12"/>
      <c r="M3" s="12"/>
      <c r="N3" s="1"/>
      <c r="O3" s="1"/>
      <c r="P3" s="90" t="s">
        <v>46</v>
      </c>
      <c r="Q3" s="9"/>
      <c r="R3" s="10"/>
      <c r="S3" s="10"/>
      <c r="T3" s="10"/>
      <c r="U3" s="11"/>
      <c r="V3" s="12"/>
      <c r="W3" s="12"/>
      <c r="X3" s="12"/>
      <c r="Y3" s="12"/>
      <c r="Z3" s="27"/>
      <c r="AA3" s="27"/>
    </row>
    <row r="4" spans="1:27" s="18" customFormat="1" ht="15" customHeight="1" outlineLevel="1" x14ac:dyDescent="0.3">
      <c r="B4" s="23"/>
      <c r="C4" s="24"/>
      <c r="D4" s="25"/>
      <c r="E4" s="26"/>
      <c r="F4" s="27"/>
      <c r="G4" s="27"/>
      <c r="H4" s="27"/>
      <c r="I4" s="27"/>
      <c r="J4" s="27"/>
      <c r="K4" s="27"/>
      <c r="L4" s="27"/>
      <c r="M4" s="27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s="18" customFormat="1" ht="15" customHeight="1" outlineLevel="1" thickBot="1" x14ac:dyDescent="0.35">
      <c r="C5" s="1"/>
      <c r="D5" s="1"/>
      <c r="E5" s="1"/>
      <c r="F5" s="1"/>
      <c r="G5" s="1"/>
      <c r="H5" s="1"/>
      <c r="I5" s="1"/>
      <c r="J5" s="1"/>
      <c r="K5" s="1"/>
      <c r="L5" s="1"/>
      <c r="M5" s="29" t="s">
        <v>35</v>
      </c>
      <c r="N5" s="1"/>
      <c r="O5" s="1"/>
      <c r="P5" s="28" t="s">
        <v>35</v>
      </c>
      <c r="Q5" s="30"/>
      <c r="R5" s="30"/>
      <c r="S5" s="30"/>
      <c r="T5" s="30"/>
      <c r="U5" s="19">
        <f>V5-1</f>
        <v>-4</v>
      </c>
      <c r="V5" s="19">
        <f>W5-1</f>
        <v>-3</v>
      </c>
      <c r="W5" s="19">
        <f>X5-1</f>
        <v>-2</v>
      </c>
      <c r="X5" s="19">
        <f>Y5-1</f>
        <v>-1</v>
      </c>
      <c r="Y5" s="19">
        <v>0</v>
      </c>
      <c r="Z5" s="1"/>
      <c r="AA5" s="1"/>
    </row>
    <row r="6" spans="1:27" s="18" customFormat="1" ht="15" customHeight="1" outlineLevel="1" x14ac:dyDescent="0.3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Z6" s="1"/>
      <c r="AA6" s="1"/>
    </row>
    <row r="7" spans="1:27" s="18" customFormat="1" ht="15" customHeight="1" outlineLevel="1" x14ac:dyDescent="0.3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Z7" s="1"/>
      <c r="AA7" s="1"/>
    </row>
    <row r="8" spans="1:27" s="18" customFormat="1" ht="15" customHeight="1" outlineLevel="1" x14ac:dyDescent="0.3">
      <c r="B8" s="37" t="s">
        <v>36</v>
      </c>
      <c r="C8" s="13"/>
      <c r="D8" s="13"/>
      <c r="E8" s="13"/>
      <c r="F8" s="13"/>
      <c r="G8" s="1"/>
      <c r="H8" s="37" t="s">
        <v>24</v>
      </c>
      <c r="I8" s="13"/>
      <c r="J8" s="13"/>
      <c r="K8" s="13"/>
      <c r="L8" s="13"/>
      <c r="M8" s="13"/>
      <c r="N8" s="1"/>
      <c r="O8" s="1"/>
      <c r="P8" s="31" t="s">
        <v>22</v>
      </c>
      <c r="Q8" s="30"/>
      <c r="R8" s="30"/>
      <c r="S8" s="30"/>
      <c r="T8" s="30"/>
      <c r="U8" s="30"/>
      <c r="V8" s="30"/>
      <c r="W8" s="30"/>
      <c r="X8" s="30"/>
      <c r="Y8" s="30"/>
      <c r="Z8" s="1"/>
      <c r="AA8" s="1"/>
    </row>
    <row r="9" spans="1:27" s="18" customFormat="1" ht="15" customHeight="1" outlineLevel="1" x14ac:dyDescent="0.3">
      <c r="G9" s="1"/>
      <c r="N9" s="1"/>
      <c r="O9" s="1"/>
      <c r="P9" s="34" t="s">
        <v>33</v>
      </c>
      <c r="Q9" s="30"/>
      <c r="R9" s="30"/>
      <c r="S9" s="30"/>
      <c r="T9" s="30"/>
      <c r="U9" s="49">
        <v>102007</v>
      </c>
      <c r="V9" s="49">
        <v>118086</v>
      </c>
      <c r="W9" s="49">
        <v>131345</v>
      </c>
      <c r="X9" s="49">
        <v>142341</v>
      </c>
      <c r="Y9" s="49">
        <v>150772</v>
      </c>
      <c r="Z9" s="1"/>
      <c r="AA9" s="1"/>
    </row>
    <row r="10" spans="1:27" s="18" customFormat="1" ht="15" customHeight="1" outlineLevel="1" x14ac:dyDescent="0.3">
      <c r="B10" s="124"/>
      <c r="C10" s="124"/>
      <c r="D10" s="124"/>
      <c r="E10" s="124"/>
      <c r="F10" s="124"/>
      <c r="G10" s="1"/>
      <c r="H10" s="124"/>
      <c r="I10" s="124"/>
      <c r="J10" s="124"/>
      <c r="K10" s="124"/>
      <c r="L10" s="131"/>
      <c r="M10" s="131"/>
      <c r="N10" s="1"/>
      <c r="O10" s="1"/>
      <c r="P10" s="34" t="s">
        <v>32</v>
      </c>
      <c r="Q10" s="30"/>
      <c r="R10" s="30"/>
      <c r="S10" s="30"/>
      <c r="T10" s="30"/>
      <c r="U10" s="49">
        <v>156387</v>
      </c>
      <c r="V10" s="49">
        <v>158882</v>
      </c>
      <c r="W10" s="49">
        <v>160034</v>
      </c>
      <c r="X10" s="49">
        <v>174988</v>
      </c>
      <c r="Y10" s="49">
        <v>191520</v>
      </c>
      <c r="Z10" s="1"/>
      <c r="AA10" s="1"/>
    </row>
    <row r="11" spans="1:27" s="18" customFormat="1" ht="15" customHeight="1" outlineLevel="1" x14ac:dyDescent="0.3">
      <c r="B11" s="124"/>
      <c r="C11" s="124"/>
      <c r="D11" s="124"/>
      <c r="E11" s="124"/>
      <c r="F11" s="124"/>
      <c r="G11" s="1"/>
      <c r="H11" s="124"/>
      <c r="I11" s="124"/>
      <c r="J11" s="124"/>
      <c r="K11" s="124"/>
      <c r="L11" s="131"/>
      <c r="M11" s="131"/>
      <c r="N11" s="1"/>
      <c r="O11" s="1"/>
      <c r="P11" s="34" t="s">
        <v>31</v>
      </c>
      <c r="Q11" s="30"/>
      <c r="R11" s="30"/>
      <c r="S11" s="30"/>
      <c r="T11" s="30"/>
      <c r="U11" s="49">
        <v>134622</v>
      </c>
      <c r="V11" s="49">
        <v>138520</v>
      </c>
      <c r="W11" s="49">
        <v>143362</v>
      </c>
      <c r="X11" s="49">
        <v>145897</v>
      </c>
      <c r="Y11" s="49">
        <v>148631</v>
      </c>
      <c r="Z11" s="1"/>
      <c r="AA11" s="1"/>
    </row>
    <row r="12" spans="1:27" s="18" customFormat="1" ht="15" customHeight="1" outlineLevel="1" x14ac:dyDescent="0.3">
      <c r="B12" s="124"/>
      <c r="C12" s="124"/>
      <c r="D12" s="124"/>
      <c r="E12" s="124"/>
      <c r="F12" s="124"/>
      <c r="G12" s="1"/>
      <c r="H12" s="124"/>
      <c r="I12" s="124"/>
      <c r="J12" s="124"/>
      <c r="K12" s="124"/>
      <c r="L12" s="131"/>
      <c r="M12" s="131"/>
      <c r="N12" s="1"/>
      <c r="O12" s="1"/>
      <c r="P12" s="34" t="s">
        <v>30</v>
      </c>
      <c r="Q12" s="30"/>
      <c r="R12" s="30"/>
      <c r="S12" s="30"/>
      <c r="T12" s="30"/>
      <c r="U12" s="59">
        <f t="shared" ref="U12:Y12" si="0">SUM(U9:U11)</f>
        <v>393016</v>
      </c>
      <c r="V12" s="59">
        <f t="shared" si="0"/>
        <v>415488</v>
      </c>
      <c r="W12" s="59">
        <f t="shared" si="0"/>
        <v>434741</v>
      </c>
      <c r="X12" s="59">
        <f t="shared" si="0"/>
        <v>463226</v>
      </c>
      <c r="Y12" s="59">
        <f t="shared" si="0"/>
        <v>490923</v>
      </c>
      <c r="Z12" s="1"/>
      <c r="AA12" s="1"/>
    </row>
    <row r="13" spans="1:27" s="18" customFormat="1" ht="15" customHeight="1" outlineLevel="1" x14ac:dyDescent="0.3">
      <c r="B13" s="124"/>
      <c r="C13" s="124"/>
      <c r="D13" s="124"/>
      <c r="E13" s="124"/>
      <c r="F13" s="124"/>
      <c r="G13" s="1"/>
      <c r="H13" s="124"/>
      <c r="I13" s="124"/>
      <c r="J13" s="124"/>
      <c r="K13" s="124"/>
      <c r="L13" s="131"/>
      <c r="M13" s="131"/>
      <c r="N13" s="1"/>
      <c r="O13" s="1"/>
      <c r="P13" s="34"/>
      <c r="Q13" s="30"/>
      <c r="R13" s="30"/>
      <c r="S13" s="30"/>
      <c r="T13" s="30"/>
      <c r="U13" s="48"/>
      <c r="V13" s="48"/>
      <c r="W13" s="48"/>
      <c r="X13" s="48"/>
      <c r="Y13" s="47"/>
      <c r="Z13" s="1"/>
      <c r="AA13" s="1"/>
    </row>
    <row r="14" spans="1:27" s="18" customFormat="1" ht="15" customHeight="1" outlineLevel="1" x14ac:dyDescent="0.3">
      <c r="B14" s="124"/>
      <c r="C14" s="124"/>
      <c r="D14" s="124"/>
      <c r="E14" s="124"/>
      <c r="F14" s="124"/>
      <c r="G14" s="1"/>
      <c r="H14" s="124"/>
      <c r="I14" s="124"/>
      <c r="J14" s="124"/>
      <c r="K14" s="124"/>
      <c r="L14" s="131"/>
      <c r="M14" s="131"/>
      <c r="N14" s="1"/>
      <c r="O14" s="1"/>
      <c r="P14" s="34" t="s">
        <v>20</v>
      </c>
      <c r="Q14" s="30"/>
      <c r="R14" s="30"/>
      <c r="S14" s="30"/>
      <c r="T14" s="30"/>
      <c r="U14" s="50">
        <v>207069</v>
      </c>
      <c r="V14" s="50">
        <v>206012</v>
      </c>
      <c r="W14" s="50">
        <v>218369</v>
      </c>
      <c r="X14" s="50">
        <v>227962</v>
      </c>
      <c r="Y14" s="49">
        <v>243130</v>
      </c>
      <c r="Z14" s="1"/>
      <c r="AA14" s="1"/>
    </row>
    <row r="15" spans="1:27" s="18" customFormat="1" ht="15" customHeight="1" outlineLevel="1" x14ac:dyDescent="0.3">
      <c r="A15" s="4"/>
      <c r="B15" s="124"/>
      <c r="C15" s="124"/>
      <c r="D15" s="124"/>
      <c r="E15" s="124"/>
      <c r="F15" s="124"/>
      <c r="G15" s="1"/>
      <c r="H15" s="124"/>
      <c r="I15" s="124"/>
      <c r="J15" s="124"/>
      <c r="K15" s="124"/>
      <c r="L15" s="124"/>
      <c r="M15" s="124"/>
      <c r="N15" s="1"/>
      <c r="O15" s="1"/>
      <c r="P15" s="34"/>
      <c r="Q15" s="30"/>
      <c r="R15" s="30"/>
      <c r="S15" s="30"/>
      <c r="T15" s="30"/>
      <c r="U15" s="33"/>
      <c r="V15" s="33"/>
      <c r="W15" s="33"/>
      <c r="X15" s="33"/>
      <c r="Y15" s="33"/>
      <c r="Z15" s="1"/>
      <c r="AA15" s="1"/>
    </row>
    <row r="16" spans="1:27" s="18" customFormat="1" ht="15" customHeight="1" outlineLevel="1" x14ac:dyDescent="0.3">
      <c r="B16" s="124"/>
      <c r="C16" s="124"/>
      <c r="D16" s="124"/>
      <c r="E16" s="124"/>
      <c r="F16" s="124"/>
      <c r="G16" s="1"/>
      <c r="H16" s="124"/>
      <c r="I16" s="124"/>
      <c r="J16" s="124"/>
      <c r="K16" s="124"/>
      <c r="L16" s="124"/>
      <c r="M16" s="124"/>
      <c r="N16" s="1"/>
      <c r="O16" s="1"/>
      <c r="P16" s="34" t="s">
        <v>80</v>
      </c>
      <c r="Q16" s="30"/>
      <c r="R16" s="30"/>
      <c r="S16" s="30"/>
      <c r="T16" s="30"/>
      <c r="U16" s="51">
        <f>U12-U14-U32</f>
        <v>26063</v>
      </c>
      <c r="V16" s="51">
        <f>V12-V14-V32</f>
        <v>34177</v>
      </c>
      <c r="W16" s="51">
        <f>W12-W14-W32</f>
        <v>43380</v>
      </c>
      <c r="X16" s="51">
        <f>X12-X14-X32</f>
        <v>64067.5</v>
      </c>
      <c r="Y16" s="52">
        <f>Y12-Y14-Y32</f>
        <v>70080.649999999994</v>
      </c>
      <c r="Z16" s="1"/>
      <c r="AA16" s="1"/>
    </row>
    <row r="17" spans="2:27" s="18" customFormat="1" ht="15" customHeight="1" outlineLevel="1" x14ac:dyDescent="0.3">
      <c r="B17" s="124"/>
      <c r="C17" s="124"/>
      <c r="D17" s="124"/>
      <c r="E17" s="124"/>
      <c r="F17" s="124"/>
      <c r="G17" s="1"/>
      <c r="H17" s="124"/>
      <c r="I17" s="124"/>
      <c r="J17" s="124"/>
      <c r="K17" s="124"/>
      <c r="L17" s="124"/>
      <c r="M17" s="124"/>
      <c r="N17" s="1"/>
      <c r="O17" s="1"/>
      <c r="P17" s="34" t="s">
        <v>23</v>
      </c>
      <c r="Q17" s="30"/>
      <c r="R17" s="30"/>
      <c r="S17" s="30"/>
      <c r="T17" s="30"/>
      <c r="U17" s="53">
        <f>U16/U12</f>
        <v>6.6315366295519776E-2</v>
      </c>
      <c r="V17" s="53">
        <f>V16/V12</f>
        <v>8.2257489987677138E-2</v>
      </c>
      <c r="W17" s="53">
        <f>W16/W12</f>
        <v>9.9783549285666642E-2</v>
      </c>
      <c r="X17" s="53">
        <f>X16/X12</f>
        <v>0.1383072193702426</v>
      </c>
      <c r="Y17" s="54">
        <f>Y16/Y12</f>
        <v>0.14275283496597224</v>
      </c>
      <c r="Z17" s="1"/>
      <c r="AA17" s="1"/>
    </row>
    <row r="18" spans="2:27" s="18" customFormat="1" ht="15" customHeight="1" outlineLevel="1" x14ac:dyDescent="0.3">
      <c r="B18" s="132"/>
      <c r="C18" s="124"/>
      <c r="D18" s="124"/>
      <c r="E18" s="124"/>
      <c r="F18" s="124"/>
      <c r="G18" s="2"/>
      <c r="H18" s="124"/>
      <c r="I18" s="124"/>
      <c r="J18" s="124"/>
      <c r="K18" s="124"/>
      <c r="L18" s="124"/>
      <c r="M18" s="124"/>
      <c r="N18" s="2"/>
      <c r="O18" s="1"/>
      <c r="P18" s="34"/>
      <c r="Q18" s="30"/>
      <c r="R18" s="30"/>
      <c r="S18" s="30"/>
      <c r="T18" s="30"/>
      <c r="U18" s="30"/>
      <c r="V18" s="30"/>
      <c r="W18" s="30"/>
      <c r="X18" s="30"/>
      <c r="Y18" s="72"/>
      <c r="Z18" s="1"/>
      <c r="AA18" s="1"/>
    </row>
    <row r="19" spans="2:27" s="18" customFormat="1" ht="15" customHeight="1" outlineLevel="1" x14ac:dyDescent="0.3">
      <c r="B19" s="124"/>
      <c r="C19" s="124"/>
      <c r="D19" s="131"/>
      <c r="E19" s="131"/>
      <c r="F19" s="131"/>
      <c r="G19" s="1"/>
      <c r="H19" s="131"/>
      <c r="I19" s="131"/>
      <c r="J19" s="131"/>
      <c r="K19" s="131"/>
      <c r="L19" s="131"/>
      <c r="M19" s="131"/>
      <c r="N19" s="1"/>
      <c r="O19" s="1"/>
      <c r="P19" s="34"/>
      <c r="Q19" s="30"/>
      <c r="R19" s="30"/>
      <c r="S19" s="30"/>
      <c r="T19" s="30"/>
      <c r="U19" s="30"/>
      <c r="V19" s="30"/>
      <c r="W19" s="30"/>
      <c r="X19" s="30"/>
      <c r="Y19" s="72"/>
      <c r="Z19" s="1"/>
      <c r="AA19" s="1"/>
    </row>
    <row r="20" spans="2:27" s="4" customFormat="1" ht="15" customHeight="1" outlineLevel="1" x14ac:dyDescent="0.3">
      <c r="B20" s="124"/>
      <c r="C20" s="124"/>
      <c r="D20" s="124"/>
      <c r="E20" s="124"/>
      <c r="F20" s="124"/>
      <c r="G20" s="1"/>
      <c r="H20" s="124"/>
      <c r="I20" s="124"/>
      <c r="J20" s="124"/>
      <c r="K20" s="124"/>
      <c r="L20" s="124"/>
      <c r="M20" s="124"/>
      <c r="N20" s="1"/>
      <c r="O20" s="1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1"/>
      <c r="AA20" s="1"/>
    </row>
    <row r="21" spans="2:27" s="4" customFormat="1" ht="15" customHeight="1" outlineLevel="1" x14ac:dyDescent="0.3">
      <c r="B21" s="1"/>
      <c r="C21" s="1"/>
      <c r="D21" s="1"/>
      <c r="E21" s="1"/>
      <c r="F21" s="1"/>
      <c r="G21" s="1"/>
      <c r="H21" s="124"/>
      <c r="I21" s="124"/>
      <c r="J21" s="124"/>
      <c r="K21" s="124"/>
      <c r="L21" s="124"/>
      <c r="M21" s="124"/>
      <c r="N21" s="1"/>
      <c r="O21" s="1"/>
      <c r="Z21" s="1"/>
      <c r="AA21" s="1"/>
    </row>
    <row r="22" spans="2:27" s="4" customFormat="1" ht="15" customHeight="1" outlineLevel="1" x14ac:dyDescent="0.3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Z22" s="1"/>
      <c r="AA22" s="1"/>
    </row>
    <row r="23" spans="2:27" s="4" customFormat="1" ht="15" customHeight="1" outlineLevel="1" x14ac:dyDescent="0.3">
      <c r="O23" s="1"/>
      <c r="Z23" s="1"/>
      <c r="AA23" s="1"/>
    </row>
    <row r="24" spans="2:27" s="4" customFormat="1" ht="15" customHeight="1" outlineLevel="1" x14ac:dyDescent="0.3">
      <c r="O24" s="1"/>
      <c r="Z24" s="1"/>
      <c r="AA24" s="1"/>
    </row>
    <row r="25" spans="2:27" s="4" customFormat="1" ht="15" customHeight="1" outlineLevel="1" x14ac:dyDescent="0.3">
      <c r="B25" s="63" t="s">
        <v>40</v>
      </c>
      <c r="C25" s="13"/>
      <c r="D25" s="13"/>
      <c r="E25" s="13"/>
      <c r="F25" s="13"/>
      <c r="G25" s="1"/>
      <c r="H25" s="37" t="s">
        <v>18</v>
      </c>
      <c r="I25" s="13"/>
      <c r="J25" s="13"/>
      <c r="K25" s="13"/>
      <c r="L25" s="13"/>
      <c r="M25" s="13"/>
      <c r="N25" s="1"/>
      <c r="O25" s="1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1"/>
      <c r="AA25" s="1"/>
    </row>
    <row r="26" spans="2:27" s="4" customFormat="1" ht="15" customHeight="1" outlineLevel="1" x14ac:dyDescent="0.3">
      <c r="G26" s="1"/>
      <c r="N26" s="1"/>
      <c r="O26" s="1"/>
      <c r="Z26" s="1"/>
      <c r="AA26" s="1"/>
    </row>
    <row r="27" spans="2:27" s="4" customFormat="1" ht="15" customHeight="1" outlineLevel="1" x14ac:dyDescent="0.3">
      <c r="B27" s="124"/>
      <c r="C27" s="124"/>
      <c r="D27" s="124"/>
      <c r="E27" s="124"/>
      <c r="F27" s="124"/>
      <c r="G27" s="1"/>
      <c r="H27" s="124"/>
      <c r="I27" s="124"/>
      <c r="J27" s="124"/>
      <c r="K27" s="124"/>
      <c r="L27" s="124"/>
      <c r="M27" s="124"/>
      <c r="N27" s="1"/>
      <c r="O27" s="1"/>
      <c r="P27" s="31" t="s">
        <v>18</v>
      </c>
      <c r="Q27" s="30"/>
      <c r="R27" s="30"/>
      <c r="S27" s="30"/>
      <c r="T27" s="30"/>
      <c r="U27" s="30"/>
      <c r="V27" s="30"/>
      <c r="W27" s="30"/>
      <c r="X27" s="30"/>
      <c r="Y27" s="30"/>
      <c r="Z27" s="1"/>
      <c r="AA27" s="1"/>
    </row>
    <row r="28" spans="2:27" s="4" customFormat="1" ht="15" customHeight="1" outlineLevel="1" x14ac:dyDescent="0.3">
      <c r="B28" s="124"/>
      <c r="C28" s="124"/>
      <c r="D28" s="124"/>
      <c r="E28" s="124"/>
      <c r="F28" s="124"/>
      <c r="G28" s="1"/>
      <c r="H28" s="124"/>
      <c r="I28" s="124"/>
      <c r="J28" s="124"/>
      <c r="K28" s="124"/>
      <c r="L28" s="124"/>
      <c r="M28" s="124"/>
      <c r="N28" s="1"/>
      <c r="O28" s="1"/>
      <c r="P28" s="34" t="s">
        <v>16</v>
      </c>
      <c r="Q28" s="30"/>
      <c r="R28" s="30"/>
      <c r="S28" s="30"/>
      <c r="T28" s="30"/>
      <c r="U28" s="50">
        <v>70854</v>
      </c>
      <c r="V28" s="50">
        <v>77974</v>
      </c>
      <c r="W28" s="50">
        <v>81616</v>
      </c>
      <c r="X28" s="50">
        <v>79006</v>
      </c>
      <c r="Y28" s="49">
        <v>85735</v>
      </c>
      <c r="Z28" s="1"/>
      <c r="AA28" s="1"/>
    </row>
    <row r="29" spans="2:27" s="4" customFormat="1" ht="15" customHeight="1" outlineLevel="1" x14ac:dyDescent="0.3">
      <c r="B29" s="124"/>
      <c r="C29" s="124"/>
      <c r="D29" s="124"/>
      <c r="E29" s="124"/>
      <c r="F29" s="124"/>
      <c r="G29" s="1"/>
      <c r="H29" s="124"/>
      <c r="I29" s="124"/>
      <c r="J29" s="124"/>
      <c r="K29" s="124"/>
      <c r="L29" s="124"/>
      <c r="M29" s="124"/>
      <c r="N29" s="1"/>
      <c r="O29" s="1"/>
      <c r="P29" s="34" t="s">
        <v>14</v>
      </c>
      <c r="Q29" s="30"/>
      <c r="R29" s="30"/>
      <c r="S29" s="30"/>
      <c r="T29" s="30"/>
      <c r="U29" s="50">
        <v>32789</v>
      </c>
      <c r="V29" s="50">
        <v>35375</v>
      </c>
      <c r="W29" s="50">
        <v>35261</v>
      </c>
      <c r="X29" s="50">
        <v>38060</v>
      </c>
      <c r="Y29" s="49">
        <v>39236</v>
      </c>
      <c r="Z29" s="1"/>
      <c r="AA29" s="1"/>
    </row>
    <row r="30" spans="2:27" s="4" customFormat="1" ht="15" customHeight="1" outlineLevel="1" x14ac:dyDescent="0.3">
      <c r="B30" s="132"/>
      <c r="C30" s="124"/>
      <c r="D30" s="124"/>
      <c r="E30" s="124"/>
      <c r="F30" s="124"/>
      <c r="G30" s="1"/>
      <c r="H30" s="124"/>
      <c r="I30" s="124"/>
      <c r="J30" s="124"/>
      <c r="K30" s="124"/>
      <c r="L30" s="124"/>
      <c r="M30" s="124"/>
      <c r="N30" s="1"/>
      <c r="O30" s="1"/>
      <c r="P30" s="34" t="s">
        <v>12</v>
      </c>
      <c r="Q30" s="30"/>
      <c r="R30" s="30"/>
      <c r="S30" s="30"/>
      <c r="T30" s="30"/>
      <c r="U30" s="50">
        <v>48741</v>
      </c>
      <c r="V30" s="50">
        <v>54450</v>
      </c>
      <c r="W30" s="50">
        <v>51615</v>
      </c>
      <c r="X30" s="50">
        <v>49630.5</v>
      </c>
      <c r="Y30" s="49">
        <v>48241.35</v>
      </c>
      <c r="Z30" s="1"/>
      <c r="AA30" s="1"/>
    </row>
    <row r="31" spans="2:27" s="4" customFormat="1" ht="15" customHeight="1" outlineLevel="1" x14ac:dyDescent="0.3">
      <c r="B31" s="132"/>
      <c r="C31" s="124"/>
      <c r="D31" s="124"/>
      <c r="E31" s="124"/>
      <c r="F31" s="124"/>
      <c r="G31" s="1"/>
      <c r="H31" s="124"/>
      <c r="I31" s="124"/>
      <c r="J31" s="124"/>
      <c r="K31" s="124"/>
      <c r="L31" s="124"/>
      <c r="M31" s="124"/>
      <c r="N31" s="2"/>
      <c r="O31" s="1"/>
      <c r="P31" s="34" t="s">
        <v>10</v>
      </c>
      <c r="Q31" s="30"/>
      <c r="R31" s="30"/>
      <c r="S31" s="30"/>
      <c r="T31" s="30"/>
      <c r="U31" s="49">
        <v>7500</v>
      </c>
      <c r="V31" s="49">
        <v>7500</v>
      </c>
      <c r="W31" s="49">
        <v>4500</v>
      </c>
      <c r="X31" s="49">
        <v>4500</v>
      </c>
      <c r="Y31" s="49">
        <v>4500</v>
      </c>
      <c r="Z31" s="1"/>
      <c r="AA31" s="1"/>
    </row>
    <row r="32" spans="2:27" s="4" customFormat="1" ht="15" customHeight="1" outlineLevel="1" x14ac:dyDescent="0.3">
      <c r="B32" s="124"/>
      <c r="C32" s="124"/>
      <c r="D32" s="124"/>
      <c r="E32" s="124"/>
      <c r="F32" s="124"/>
      <c r="G32" s="1"/>
      <c r="H32" s="124"/>
      <c r="I32" s="124"/>
      <c r="J32" s="124"/>
      <c r="K32" s="124"/>
      <c r="L32" s="124"/>
      <c r="M32" s="124"/>
      <c r="N32" s="1"/>
      <c r="O32" s="1"/>
      <c r="P32" s="34" t="s">
        <v>4</v>
      </c>
      <c r="Q32" s="30"/>
      <c r="R32" s="30"/>
      <c r="S32" s="30"/>
      <c r="T32" s="30"/>
      <c r="U32" s="59">
        <f t="shared" ref="U32:Y32" si="1">SUM(U28:U31)</f>
        <v>159884</v>
      </c>
      <c r="V32" s="59">
        <f t="shared" si="1"/>
        <v>175299</v>
      </c>
      <c r="W32" s="59">
        <f t="shared" si="1"/>
        <v>172992</v>
      </c>
      <c r="X32" s="59">
        <f t="shared" si="1"/>
        <v>171196.5</v>
      </c>
      <c r="Y32" s="60">
        <f t="shared" si="1"/>
        <v>177712.35</v>
      </c>
      <c r="Z32" s="1"/>
      <c r="AA32" s="1"/>
    </row>
    <row r="33" spans="1:27" s="4" customFormat="1" ht="15" customHeight="1" outlineLevel="1" x14ac:dyDescent="0.3">
      <c r="B33" s="124"/>
      <c r="C33" s="124"/>
      <c r="D33" s="124"/>
      <c r="E33" s="124"/>
      <c r="F33" s="124"/>
      <c r="G33" s="1"/>
      <c r="H33" s="124"/>
      <c r="I33" s="124"/>
      <c r="J33" s="124"/>
      <c r="K33" s="124"/>
      <c r="L33" s="124"/>
      <c r="M33" s="124"/>
      <c r="N33" s="1"/>
      <c r="O33" s="1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1:27" s="4" customFormat="1" ht="15" customHeight="1" outlineLevel="1" x14ac:dyDescent="0.3">
      <c r="B34" s="124"/>
      <c r="C34" s="124"/>
      <c r="D34" s="124"/>
      <c r="E34" s="124"/>
      <c r="F34" s="124"/>
      <c r="G34" s="1"/>
      <c r="H34" s="124"/>
      <c r="I34" s="124"/>
      <c r="J34" s="124"/>
      <c r="K34" s="124"/>
      <c r="L34" s="124"/>
      <c r="M34" s="124"/>
      <c r="N34" s="1"/>
      <c r="O34" s="1"/>
    </row>
    <row r="35" spans="1:27" s="4" customFormat="1" ht="15" customHeight="1" outlineLevel="1" x14ac:dyDescent="0.3">
      <c r="B35" s="124"/>
      <c r="C35" s="124"/>
      <c r="D35" s="124"/>
      <c r="E35" s="124"/>
      <c r="F35" s="124"/>
      <c r="G35" s="1"/>
      <c r="H35" s="124"/>
      <c r="I35" s="124"/>
      <c r="J35" s="124"/>
      <c r="K35" s="124"/>
      <c r="L35" s="124"/>
      <c r="M35" s="124"/>
      <c r="N35" s="1"/>
      <c r="O35" s="1"/>
    </row>
    <row r="36" spans="1:27" s="4" customFormat="1" ht="15" customHeight="1" outlineLevel="1" x14ac:dyDescent="0.3">
      <c r="B36" s="124"/>
      <c r="C36" s="124"/>
      <c r="D36" s="124"/>
      <c r="E36" s="124"/>
      <c r="F36" s="124"/>
      <c r="G36" s="1"/>
      <c r="H36" s="124"/>
      <c r="I36" s="124"/>
      <c r="J36" s="124"/>
      <c r="K36" s="124"/>
      <c r="L36" s="124"/>
      <c r="M36" s="124"/>
      <c r="N36" s="1"/>
      <c r="O36" s="1"/>
    </row>
    <row r="37" spans="1:27" s="4" customFormat="1" ht="15" customHeight="1" outlineLevel="1" x14ac:dyDescent="0.3">
      <c r="B37" s="124"/>
      <c r="C37" s="124"/>
      <c r="D37" s="124"/>
      <c r="E37" s="124"/>
      <c r="F37" s="124"/>
      <c r="G37" s="1"/>
      <c r="H37" s="124"/>
      <c r="I37" s="124"/>
      <c r="J37" s="124"/>
      <c r="K37" s="124"/>
      <c r="L37" s="124"/>
      <c r="M37" s="124"/>
      <c r="N37" s="1"/>
      <c r="O37" s="1"/>
      <c r="Y37" s="1"/>
    </row>
    <row r="38" spans="1:27" s="4" customFormat="1" ht="15" customHeight="1" outlineLevel="1" x14ac:dyDescent="0.3">
      <c r="B38" s="124"/>
      <c r="C38" s="124"/>
      <c r="D38" s="124"/>
      <c r="E38" s="124"/>
      <c r="F38" s="124"/>
      <c r="G38" s="1"/>
      <c r="H38" s="124"/>
      <c r="I38" s="124"/>
      <c r="J38" s="124"/>
      <c r="K38" s="124"/>
      <c r="L38" s="124"/>
      <c r="M38" s="124"/>
      <c r="N38" s="1"/>
      <c r="O38" s="1"/>
      <c r="Y38" s="1"/>
    </row>
    <row r="39" spans="1:27" s="4" customFormat="1" ht="15" customHeight="1" outlineLevel="1" x14ac:dyDescent="0.3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27" s="4" customFormat="1" ht="15" customHeight="1" outlineLevel="1" x14ac:dyDescent="0.3">
      <c r="O40" s="1"/>
      <c r="P40" s="57"/>
      <c r="Q40" s="57"/>
      <c r="R40" s="57"/>
      <c r="S40" s="57"/>
      <c r="T40" s="57"/>
      <c r="U40" s="57"/>
      <c r="V40" s="57"/>
      <c r="W40" s="57"/>
      <c r="X40" s="57"/>
      <c r="Y40" s="57"/>
    </row>
    <row r="41" spans="1:27" s="4" customFormat="1" ht="15" customHeight="1" outlineLevel="1" x14ac:dyDescent="0.3">
      <c r="N41" s="1"/>
      <c r="O41" s="1"/>
      <c r="Y41" s="1"/>
      <c r="Z41" s="30"/>
      <c r="AA41" s="30"/>
    </row>
    <row r="42" spans="1:27" ht="15" customHeight="1" outlineLevel="1" x14ac:dyDescent="0.3">
      <c r="B42" s="63" t="s">
        <v>41</v>
      </c>
      <c r="C42" s="13"/>
      <c r="D42" s="13"/>
      <c r="E42" s="13"/>
      <c r="F42" s="13"/>
      <c r="H42" s="63" t="s">
        <v>42</v>
      </c>
      <c r="I42" s="13"/>
      <c r="J42" s="13"/>
      <c r="K42" s="13"/>
      <c r="L42" s="13"/>
      <c r="M42" s="13"/>
    </row>
    <row r="43" spans="1:27" ht="15" customHeight="1" outlineLevel="1" x14ac:dyDescent="0.3">
      <c r="A43" s="4"/>
      <c r="N43" s="30"/>
    </row>
    <row r="44" spans="1:27" ht="15" customHeight="1" outlineLevel="1" x14ac:dyDescent="0.3">
      <c r="A44" s="4"/>
      <c r="B44" s="6"/>
      <c r="C44" s="30"/>
      <c r="D44" s="70" t="s">
        <v>29</v>
      </c>
      <c r="E44" s="137" t="s">
        <v>28</v>
      </c>
      <c r="F44" s="137"/>
      <c r="G44" s="30"/>
      <c r="H44" s="30"/>
      <c r="I44" s="30"/>
      <c r="J44" s="70" t="s">
        <v>27</v>
      </c>
      <c r="K44" s="70" t="s">
        <v>38</v>
      </c>
      <c r="L44" s="70" t="s">
        <v>26</v>
      </c>
      <c r="M44" s="70" t="s">
        <v>25</v>
      </c>
      <c r="N44" s="30"/>
      <c r="O44" s="30"/>
      <c r="P44" s="90" t="s">
        <v>45</v>
      </c>
      <c r="Q44" s="9"/>
      <c r="R44" s="10"/>
      <c r="S44" s="10"/>
      <c r="T44" s="10"/>
      <c r="U44" s="11"/>
      <c r="V44" s="4"/>
    </row>
    <row r="45" spans="1:27" s="4" customFormat="1" ht="15" customHeight="1" outlineLevel="1" x14ac:dyDescent="0.3">
      <c r="A45" s="1"/>
      <c r="B45" s="6"/>
      <c r="C45" s="41" t="s">
        <v>22</v>
      </c>
      <c r="D45" s="133">
        <f>AVERAGE(U12:Y12)</f>
        <v>439478.8</v>
      </c>
      <c r="E45" s="138"/>
      <c r="F45" s="138"/>
      <c r="G45" s="30"/>
      <c r="H45" s="30"/>
      <c r="I45" s="41" t="s">
        <v>22</v>
      </c>
      <c r="J45" s="66">
        <f>Y12</f>
        <v>490923</v>
      </c>
      <c r="K45" s="67">
        <f>U48</f>
        <v>475000</v>
      </c>
      <c r="L45" s="136">
        <f>J45-K45</f>
        <v>15923</v>
      </c>
      <c r="M45" s="144">
        <f>L45/K45</f>
        <v>3.3522105263157895E-2</v>
      </c>
      <c r="N45" s="30"/>
      <c r="O45" s="30"/>
      <c r="W45" s="30"/>
      <c r="X45" s="30"/>
      <c r="Y45" s="30"/>
      <c r="Z45" s="30"/>
      <c r="AA45" s="30"/>
    </row>
    <row r="46" spans="1:27" s="18" customFormat="1" ht="15" customHeight="1" thickBot="1" x14ac:dyDescent="0.35">
      <c r="A46" s="1"/>
      <c r="B46" s="6"/>
      <c r="C46" s="41"/>
      <c r="D46" s="64"/>
      <c r="E46" s="38"/>
      <c r="F46" s="38"/>
      <c r="G46" s="30"/>
      <c r="H46" s="30"/>
      <c r="I46" s="41"/>
      <c r="J46" s="64"/>
      <c r="K46" s="65"/>
      <c r="L46" s="65"/>
      <c r="M46" s="71"/>
      <c r="N46" s="30"/>
      <c r="O46" s="30"/>
      <c r="P46" s="31" t="s">
        <v>38</v>
      </c>
      <c r="U46" s="19">
        <v>0</v>
      </c>
      <c r="V46" s="4"/>
    </row>
    <row r="47" spans="1:27" s="22" customFormat="1" ht="15" customHeight="1" x14ac:dyDescent="0.3">
      <c r="A47" s="1"/>
      <c r="B47" s="6"/>
      <c r="C47" s="41" t="s">
        <v>20</v>
      </c>
      <c r="D47" s="133">
        <f>AVERAGE(U14:Y14)</f>
        <v>220508.4</v>
      </c>
      <c r="E47" s="134"/>
      <c r="F47" s="134"/>
      <c r="G47" s="30"/>
      <c r="H47" s="30"/>
      <c r="I47" s="41" t="s">
        <v>20</v>
      </c>
      <c r="J47" s="66">
        <f>Y14</f>
        <v>243130</v>
      </c>
      <c r="K47" s="67">
        <f>U49</f>
        <v>238000</v>
      </c>
      <c r="L47" s="136">
        <f>J47-K47</f>
        <v>5130</v>
      </c>
      <c r="M47" s="144">
        <f>L47/K47</f>
        <v>2.1554621848739495E-2</v>
      </c>
      <c r="N47" s="30"/>
      <c r="O47" s="1"/>
      <c r="P47" s="18"/>
      <c r="Q47" s="30"/>
      <c r="R47" s="30"/>
      <c r="S47" s="30"/>
      <c r="T47" s="30"/>
      <c r="U47" s="18"/>
      <c r="V47" s="4"/>
    </row>
    <row r="48" spans="1:27" ht="15" customHeight="1" x14ac:dyDescent="0.3">
      <c r="A48" s="4"/>
      <c r="B48" s="6"/>
      <c r="C48" s="41"/>
      <c r="D48" s="64"/>
      <c r="E48" s="38"/>
      <c r="F48" s="38"/>
      <c r="G48" s="30"/>
      <c r="H48" s="30"/>
      <c r="I48" s="41"/>
      <c r="J48" s="64"/>
      <c r="K48" s="65"/>
      <c r="L48" s="65"/>
      <c r="M48" s="71"/>
      <c r="N48" s="30"/>
      <c r="P48" s="34" t="s">
        <v>22</v>
      </c>
      <c r="U48" s="50">
        <v>475000</v>
      </c>
      <c r="W48" s="18"/>
      <c r="Y48" s="18"/>
      <c r="Z48" s="18"/>
      <c r="AA48" s="18"/>
    </row>
    <row r="49" spans="1:27" ht="15" customHeight="1" x14ac:dyDescent="0.3">
      <c r="A49" s="18"/>
      <c r="B49" s="5"/>
      <c r="C49" s="41" t="s">
        <v>18</v>
      </c>
      <c r="D49" s="133">
        <f>AVERAGE(U32:Y32)</f>
        <v>171416.77</v>
      </c>
      <c r="E49" s="134"/>
      <c r="F49" s="134"/>
      <c r="G49" s="30"/>
      <c r="H49" s="30"/>
      <c r="I49" s="41" t="s">
        <v>18</v>
      </c>
      <c r="J49" s="66">
        <f>Y32</f>
        <v>177712.35</v>
      </c>
      <c r="K49" s="67">
        <f>U50</f>
        <v>186000</v>
      </c>
      <c r="L49" s="136">
        <f>J49-K49</f>
        <v>-8287.6499999999942</v>
      </c>
      <c r="M49" s="144">
        <f>L49/K49</f>
        <v>-4.4557258064516096E-2</v>
      </c>
      <c r="N49" s="30"/>
      <c r="P49" s="34" t="s">
        <v>20</v>
      </c>
      <c r="U49" s="50">
        <v>238000</v>
      </c>
      <c r="W49" s="22"/>
      <c r="Y49" s="18"/>
      <c r="Z49" s="18"/>
      <c r="AA49" s="18"/>
    </row>
    <row r="50" spans="1:27" ht="15" customHeight="1" x14ac:dyDescent="0.3">
      <c r="A50" s="21"/>
      <c r="B50" s="5"/>
      <c r="C50" s="41"/>
      <c r="D50" s="64"/>
      <c r="E50" s="38"/>
      <c r="F50" s="38"/>
      <c r="G50" s="30"/>
      <c r="H50" s="30"/>
      <c r="I50" s="41"/>
      <c r="J50" s="64"/>
      <c r="K50" s="65"/>
      <c r="L50" s="65"/>
      <c r="M50" s="71"/>
      <c r="N50" s="30"/>
      <c r="P50" s="34" t="s">
        <v>18</v>
      </c>
      <c r="U50" s="50">
        <v>186000</v>
      </c>
      <c r="Y50" s="18"/>
      <c r="Z50" s="18"/>
      <c r="AA50" s="18"/>
    </row>
    <row r="51" spans="1:27" ht="15" customHeight="1" x14ac:dyDescent="0.3">
      <c r="B51" s="5"/>
      <c r="C51" s="41" t="s">
        <v>24</v>
      </c>
      <c r="D51" s="133">
        <f>D45-D47-D49</f>
        <v>47553.630000000005</v>
      </c>
      <c r="E51" s="134"/>
      <c r="F51" s="134"/>
      <c r="G51" s="30"/>
      <c r="H51" s="30"/>
      <c r="I51" s="41" t="s">
        <v>24</v>
      </c>
      <c r="J51" s="66">
        <f>Y16</f>
        <v>70080.649999999994</v>
      </c>
      <c r="K51" s="67">
        <f>U51</f>
        <v>73500</v>
      </c>
      <c r="L51" s="136">
        <f>J51-K51</f>
        <v>-3419.3500000000058</v>
      </c>
      <c r="M51" s="144">
        <f>L51/K51</f>
        <v>-4.652176870748307E-2</v>
      </c>
      <c r="N51" s="30"/>
      <c r="P51" s="34" t="s">
        <v>24</v>
      </c>
      <c r="U51" s="50">
        <v>73500</v>
      </c>
      <c r="Y51" s="18"/>
      <c r="Z51" s="18"/>
      <c r="AA51" s="18"/>
    </row>
    <row r="52" spans="1:27" ht="15" customHeight="1" x14ac:dyDescent="0.3">
      <c r="B52" s="5"/>
      <c r="C52" s="41"/>
      <c r="D52" s="68"/>
      <c r="E52" s="38"/>
      <c r="F52" s="38"/>
      <c r="G52" s="30"/>
      <c r="H52" s="30"/>
      <c r="I52" s="41"/>
      <c r="J52" s="68"/>
      <c r="K52" s="38"/>
      <c r="L52" s="38"/>
      <c r="M52" s="71"/>
      <c r="N52" s="30"/>
      <c r="P52" s="34" t="s">
        <v>24</v>
      </c>
      <c r="U52" s="73">
        <f>U51/U48</f>
        <v>0.15473684210526314</v>
      </c>
      <c r="X52" s="1"/>
      <c r="Y52" s="18"/>
      <c r="Z52" s="18"/>
      <c r="AA52" s="18"/>
    </row>
    <row r="53" spans="1:27" ht="15" customHeight="1" x14ac:dyDescent="0.3">
      <c r="B53" s="5"/>
      <c r="C53" s="41" t="s">
        <v>23</v>
      </c>
      <c r="D53" s="135">
        <f>D51/D45</f>
        <v>0.10820460509130363</v>
      </c>
      <c r="E53" s="134"/>
      <c r="F53" s="134"/>
      <c r="G53" s="30"/>
      <c r="H53" s="30"/>
      <c r="I53" s="41" t="s">
        <v>23</v>
      </c>
      <c r="J53" s="69">
        <f>Y17</f>
        <v>0.14275283496597224</v>
      </c>
      <c r="K53" s="55">
        <f>U52</f>
        <v>0.15473684210526314</v>
      </c>
      <c r="L53" s="143">
        <f>J53-K53</f>
        <v>-1.1984007139290903E-2</v>
      </c>
      <c r="M53" s="144">
        <f>L53/K53</f>
        <v>-7.7447665185893605E-2</v>
      </c>
      <c r="Y53" s="18"/>
      <c r="Z53" s="18"/>
      <c r="AA53" s="18"/>
    </row>
    <row r="54" spans="1:27" ht="15" customHeight="1" x14ac:dyDescent="0.3">
      <c r="H54" s="4"/>
      <c r="I54" s="4"/>
      <c r="M54" s="71"/>
      <c r="P54" s="58"/>
      <c r="Q54" s="58"/>
      <c r="R54" s="58"/>
      <c r="S54" s="58"/>
      <c r="T54" s="58"/>
      <c r="U54" s="58"/>
      <c r="V54" s="58"/>
      <c r="Y54" s="18"/>
      <c r="Z54" s="18"/>
      <c r="AA54" s="18"/>
    </row>
    <row r="55" spans="1:27" ht="15" customHeight="1" x14ac:dyDescent="0.3">
      <c r="H55" s="4"/>
      <c r="I55" s="4"/>
      <c r="M55" s="3"/>
      <c r="P55" s="1"/>
      <c r="Q55" s="1"/>
      <c r="R55" s="1"/>
      <c r="S55" s="1"/>
      <c r="T55" s="1"/>
      <c r="U55" s="1"/>
      <c r="V55" s="1"/>
      <c r="Y55" s="18"/>
      <c r="Z55" s="18"/>
      <c r="AA55" s="18"/>
    </row>
    <row r="56" spans="1:27" ht="15" customHeight="1" thickBot="1" x14ac:dyDescent="0.35">
      <c r="N56" s="39"/>
      <c r="O56" s="30"/>
      <c r="P56" s="31" t="s">
        <v>37</v>
      </c>
      <c r="Q56" s="36"/>
      <c r="U56" s="19">
        <v>0</v>
      </c>
      <c r="Y56" s="18"/>
      <c r="Z56" s="18"/>
      <c r="AA56" s="18"/>
    </row>
    <row r="57" spans="1:27" ht="15" customHeight="1" x14ac:dyDescent="0.3">
      <c r="O57" s="30"/>
      <c r="P57" s="31"/>
      <c r="Q57" s="36"/>
      <c r="U57" s="18"/>
      <c r="V57" s="1"/>
      <c r="Y57" s="18"/>
      <c r="Z57" s="18"/>
      <c r="AA57" s="18"/>
    </row>
    <row r="58" spans="1:27" ht="15" customHeight="1" x14ac:dyDescent="0.3">
      <c r="B58" s="63" t="s">
        <v>44</v>
      </c>
      <c r="C58" s="37"/>
      <c r="D58" s="37"/>
      <c r="E58" s="37"/>
      <c r="F58" s="37"/>
      <c r="G58" s="30"/>
      <c r="H58" s="63" t="s">
        <v>43</v>
      </c>
      <c r="I58" s="37"/>
      <c r="J58" s="37"/>
      <c r="K58" s="37"/>
      <c r="L58" s="37"/>
      <c r="M58" s="37"/>
      <c r="N58" s="30"/>
      <c r="O58" s="30"/>
      <c r="P58" s="56" t="s">
        <v>21</v>
      </c>
      <c r="V58" s="1"/>
      <c r="Y58" s="18"/>
      <c r="Z58" s="18"/>
      <c r="AA58" s="18"/>
    </row>
    <row r="59" spans="1:27" ht="15" customHeight="1" x14ac:dyDescent="0.3">
      <c r="N59" s="30"/>
      <c r="O59" s="30"/>
      <c r="P59" s="32"/>
      <c r="V59" s="1"/>
      <c r="Y59" s="1"/>
    </row>
    <row r="60" spans="1:27" ht="15" customHeight="1" x14ac:dyDescent="0.3">
      <c r="B60" s="43" t="s">
        <v>22</v>
      </c>
      <c r="C60" s="31"/>
      <c r="D60" s="31"/>
      <c r="E60" s="31"/>
      <c r="F60" s="139">
        <f>Y12</f>
        <v>490923</v>
      </c>
      <c r="G60" s="30"/>
      <c r="H60" s="43" t="s">
        <v>21</v>
      </c>
      <c r="I60" s="31"/>
      <c r="J60" s="31"/>
      <c r="K60" s="31"/>
      <c r="L60" s="31"/>
      <c r="M60" s="31"/>
      <c r="N60" s="30"/>
      <c r="O60" s="30"/>
      <c r="P60" s="34" t="s">
        <v>19</v>
      </c>
      <c r="U60" s="50">
        <v>395685</v>
      </c>
      <c r="V60" s="1"/>
      <c r="Y60" s="1"/>
    </row>
    <row r="61" spans="1:27" ht="15" customHeight="1" x14ac:dyDescent="0.3">
      <c r="B61" s="35" t="s">
        <v>20</v>
      </c>
      <c r="C61" s="30"/>
      <c r="D61" s="30"/>
      <c r="E61" s="30"/>
      <c r="F61" s="140">
        <f>Y14</f>
        <v>243130</v>
      </c>
      <c r="G61" s="30"/>
      <c r="H61" s="35" t="s">
        <v>19</v>
      </c>
      <c r="I61" s="30"/>
      <c r="J61" s="30"/>
      <c r="K61" s="30"/>
      <c r="L61" s="30"/>
      <c r="M61" s="140">
        <f>U60</f>
        <v>395685</v>
      </c>
      <c r="N61" s="30"/>
      <c r="O61" s="30"/>
      <c r="P61" s="32"/>
      <c r="U61" s="50"/>
      <c r="V61" s="1"/>
      <c r="X61" s="4"/>
      <c r="Y61" s="1"/>
      <c r="Z61" s="4"/>
      <c r="AA61" s="4"/>
    </row>
    <row r="62" spans="1:27" ht="15" customHeight="1" x14ac:dyDescent="0.3">
      <c r="B62" s="7"/>
      <c r="G62" s="30"/>
      <c r="H62" s="35" t="s">
        <v>17</v>
      </c>
      <c r="I62" s="30"/>
      <c r="J62" s="30"/>
      <c r="K62" s="30"/>
      <c r="L62" s="30"/>
      <c r="M62" s="140">
        <f>U62</f>
        <v>589610</v>
      </c>
      <c r="N62" s="30"/>
      <c r="O62" s="30"/>
      <c r="P62" s="34" t="s">
        <v>17</v>
      </c>
      <c r="U62" s="49">
        <v>589610</v>
      </c>
      <c r="V62" s="1"/>
      <c r="Y62" s="1"/>
    </row>
    <row r="63" spans="1:27" ht="15" customHeight="1" thickBot="1" x14ac:dyDescent="0.35">
      <c r="B63" s="43" t="s">
        <v>18</v>
      </c>
      <c r="C63" s="31"/>
      <c r="D63" s="31"/>
      <c r="E63" s="31"/>
      <c r="F63" s="40"/>
      <c r="G63" s="30"/>
      <c r="H63" s="7"/>
      <c r="N63" s="30"/>
      <c r="O63" s="30"/>
      <c r="P63" s="34" t="s">
        <v>15</v>
      </c>
      <c r="U63" s="61">
        <f>SUM(U60:U62)</f>
        <v>985295</v>
      </c>
      <c r="V63" s="1"/>
      <c r="Y63" s="1"/>
    </row>
    <row r="64" spans="1:27" ht="15" customHeight="1" thickBot="1" x14ac:dyDescent="0.35">
      <c r="B64" s="35" t="s">
        <v>16</v>
      </c>
      <c r="C64" s="30"/>
      <c r="D64" s="30"/>
      <c r="E64" s="30"/>
      <c r="F64" s="140">
        <f>Y28</f>
        <v>85735</v>
      </c>
      <c r="G64" s="30"/>
      <c r="H64" s="44" t="s">
        <v>15</v>
      </c>
      <c r="I64" s="31"/>
      <c r="J64" s="31"/>
      <c r="K64" s="31"/>
      <c r="L64" s="31"/>
      <c r="M64" s="142">
        <f>M61+M62</f>
        <v>985295</v>
      </c>
      <c r="N64" s="30"/>
      <c r="O64" s="30"/>
      <c r="P64" s="4"/>
      <c r="Q64" s="4"/>
      <c r="R64" s="4"/>
      <c r="S64" s="4"/>
      <c r="T64" s="4"/>
      <c r="U64" s="4"/>
      <c r="V64" s="1"/>
      <c r="Y64" s="1"/>
    </row>
    <row r="65" spans="2:25" ht="15" customHeight="1" x14ac:dyDescent="0.3">
      <c r="B65" s="35" t="s">
        <v>14</v>
      </c>
      <c r="C65" s="30"/>
      <c r="D65" s="30"/>
      <c r="E65" s="30"/>
      <c r="F65" s="140">
        <f t="shared" ref="F65:F67" si="2">Y29</f>
        <v>39236</v>
      </c>
      <c r="G65" s="30"/>
      <c r="H65" s="7"/>
      <c r="M65" s="42"/>
      <c r="N65" s="30"/>
      <c r="O65" s="30"/>
      <c r="P65" s="56" t="s">
        <v>13</v>
      </c>
      <c r="U65" s="41"/>
      <c r="V65" s="1"/>
      <c r="Y65" s="1"/>
    </row>
    <row r="66" spans="2:25" ht="15" customHeight="1" x14ac:dyDescent="0.3">
      <c r="B66" s="35" t="s">
        <v>12</v>
      </c>
      <c r="C66" s="30"/>
      <c r="D66" s="30"/>
      <c r="E66" s="30"/>
      <c r="F66" s="140">
        <f t="shared" si="2"/>
        <v>48241.35</v>
      </c>
      <c r="G66" s="30"/>
      <c r="H66" s="43" t="s">
        <v>13</v>
      </c>
      <c r="I66" s="31"/>
      <c r="J66" s="31"/>
      <c r="K66" s="31"/>
      <c r="L66" s="31"/>
      <c r="M66" s="40"/>
      <c r="N66" s="30"/>
      <c r="O66" s="30"/>
      <c r="P66" s="34" t="s">
        <v>11</v>
      </c>
      <c r="U66" s="50">
        <v>135374</v>
      </c>
      <c r="V66" s="1"/>
      <c r="Y66" s="1"/>
    </row>
    <row r="67" spans="2:25" ht="15" customHeight="1" x14ac:dyDescent="0.3">
      <c r="B67" s="35" t="s">
        <v>10</v>
      </c>
      <c r="C67" s="30"/>
      <c r="D67" s="30"/>
      <c r="E67" s="30"/>
      <c r="F67" s="140">
        <f t="shared" si="2"/>
        <v>4500</v>
      </c>
      <c r="G67" s="30"/>
      <c r="H67" s="35" t="s">
        <v>11</v>
      </c>
      <c r="I67" s="30"/>
      <c r="J67" s="30"/>
      <c r="K67" s="30"/>
      <c r="L67" s="30"/>
      <c r="M67" s="140">
        <f>U66</f>
        <v>135374</v>
      </c>
      <c r="N67" s="30"/>
      <c r="O67" s="30"/>
      <c r="P67" s="34" t="s">
        <v>9</v>
      </c>
      <c r="U67" s="50">
        <v>384962</v>
      </c>
      <c r="V67" s="1"/>
      <c r="Y67" s="1"/>
    </row>
    <row r="68" spans="2:25" ht="15" customHeight="1" x14ac:dyDescent="0.3">
      <c r="B68" s="35" t="s">
        <v>8</v>
      </c>
      <c r="C68" s="30"/>
      <c r="D68" s="30"/>
      <c r="E68" s="30"/>
      <c r="F68" s="141">
        <f>SUM(F64:F67)</f>
        <v>177712.35</v>
      </c>
      <c r="G68" s="30"/>
      <c r="H68" s="35" t="s">
        <v>9</v>
      </c>
      <c r="I68" s="30"/>
      <c r="J68" s="30"/>
      <c r="K68" s="30"/>
      <c r="L68" s="30"/>
      <c r="M68" s="140">
        <f t="shared" ref="M68:M69" si="3">U67</f>
        <v>384962</v>
      </c>
      <c r="O68" s="30"/>
      <c r="P68" s="34" t="s">
        <v>7</v>
      </c>
      <c r="U68" s="50">
        <v>464959</v>
      </c>
      <c r="V68" s="1"/>
      <c r="Y68" s="1"/>
    </row>
    <row r="69" spans="2:25" ht="15" customHeight="1" x14ac:dyDescent="0.3">
      <c r="B69" s="7"/>
      <c r="F69" s="42"/>
      <c r="G69" s="30"/>
      <c r="H69" s="35" t="s">
        <v>7</v>
      </c>
      <c r="I69" s="31"/>
      <c r="J69" s="31"/>
      <c r="K69" s="31"/>
      <c r="L69" s="31"/>
      <c r="M69" s="140">
        <f t="shared" si="3"/>
        <v>464959</v>
      </c>
      <c r="O69" s="30"/>
      <c r="P69" s="32"/>
      <c r="U69" s="47"/>
      <c r="V69" s="1"/>
    </row>
    <row r="70" spans="2:25" ht="15" customHeight="1" thickBot="1" x14ac:dyDescent="0.35">
      <c r="B70" s="7"/>
      <c r="H70" s="7"/>
      <c r="O70" s="30"/>
      <c r="P70" s="43" t="s">
        <v>39</v>
      </c>
      <c r="U70" s="61">
        <f>SUM(U66:U68)</f>
        <v>985295</v>
      </c>
      <c r="V70" s="1"/>
    </row>
    <row r="71" spans="2:25" ht="15" customHeight="1" thickBot="1" x14ac:dyDescent="0.35">
      <c r="B71" s="43" t="s">
        <v>6</v>
      </c>
      <c r="C71" s="31"/>
      <c r="D71" s="31"/>
      <c r="E71" s="31"/>
      <c r="F71" s="142">
        <f>F60-F61-F68</f>
        <v>70080.649999999994</v>
      </c>
      <c r="H71" s="44" t="s">
        <v>39</v>
      </c>
      <c r="I71" s="31"/>
      <c r="J71" s="31"/>
      <c r="K71" s="31"/>
      <c r="L71" s="31"/>
      <c r="M71" s="142">
        <f>SUM(M67:M69)</f>
        <v>985295</v>
      </c>
      <c r="O71" s="30"/>
    </row>
    <row r="72" spans="2:25" ht="15" customHeight="1" x14ac:dyDescent="0.3">
      <c r="O72" s="30"/>
      <c r="P72" s="1"/>
      <c r="Q72" s="1"/>
      <c r="R72" s="1"/>
      <c r="S72" s="1"/>
      <c r="T72" s="1"/>
      <c r="U72" s="1"/>
      <c r="V72" s="4"/>
    </row>
    <row r="73" spans="2:25" ht="15" customHeight="1" x14ac:dyDescent="0.3"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P73" s="58"/>
      <c r="Q73" s="14"/>
      <c r="R73" s="14"/>
      <c r="S73" s="14"/>
      <c r="T73" s="57"/>
      <c r="U73" s="57"/>
      <c r="V73" s="4"/>
    </row>
    <row r="74" spans="2:25" ht="15" customHeight="1" x14ac:dyDescent="0.3">
      <c r="Q74" s="1"/>
      <c r="R74" s="1"/>
      <c r="S74" s="1"/>
      <c r="T74" s="4"/>
      <c r="U74" s="4"/>
      <c r="V74" s="4"/>
    </row>
    <row r="75" spans="2:25" ht="15" customHeight="1" x14ac:dyDescent="0.3">
      <c r="Q75" s="1"/>
      <c r="R75" s="1"/>
      <c r="S75" s="1"/>
      <c r="T75" s="4"/>
      <c r="U75" s="4"/>
      <c r="V75" s="4"/>
    </row>
  </sheetData>
  <conditionalFormatting sqref="M45">
    <cfRule type="cellIs" dxfId="9" priority="10" operator="greaterThan">
      <formula>0</formula>
    </cfRule>
    <cfRule type="cellIs" dxfId="8" priority="9" operator="lessThan">
      <formula>0</formula>
    </cfRule>
  </conditionalFormatting>
  <conditionalFormatting sqref="M51">
    <cfRule type="cellIs" dxfId="7" priority="7" operator="lessThan">
      <formula>0</formula>
    </cfRule>
    <cfRule type="cellIs" dxfId="6" priority="8" operator="greaterThan">
      <formula>0</formula>
    </cfRule>
  </conditionalFormatting>
  <conditionalFormatting sqref="M53">
    <cfRule type="cellIs" dxfId="5" priority="5" operator="lessThan">
      <formula>0</formula>
    </cfRule>
    <cfRule type="cellIs" dxfId="4" priority="6" operator="greaterThan">
      <formula>0</formula>
    </cfRule>
  </conditionalFormatting>
  <conditionalFormatting sqref="M47">
    <cfRule type="cellIs" dxfId="2" priority="4" operator="greaterThan">
      <formula>0</formula>
    </cfRule>
    <cfRule type="cellIs" dxfId="3" priority="3" operator="lessThan">
      <formula>0</formula>
    </cfRule>
  </conditionalFormatting>
  <conditionalFormatting sqref="M49">
    <cfRule type="cellIs" dxfId="0" priority="1" operator="lessThan">
      <formula>0</formula>
    </cfRule>
    <cfRule type="cellIs" dxfId="1" priority="2" operator="greaterThan">
      <formula>0</formula>
    </cfRule>
  </conditionalFormatting>
  <printOptions horizontalCentered="1"/>
  <pageMargins left="0.118110236220472" right="0.118110236220472" top="0.118110236220472" bottom="0.118110236220472" header="0.118110236220472" footer="0.118110236220472"/>
  <pageSetup scale="80" orientation="portrait" r:id="rId1"/>
  <headerFooter scaleWithDoc="0" alignWithMargins="0">
    <oddFooter>&amp;L&amp;"Open Sans,Bold"&amp;10&amp;K002060Excel Data Visualization &amp;&amp; Dashboards&amp;C&amp;"Open Sans,Bold"&amp;10&amp;K002060Page &amp;P of &amp;N&amp;R&amp;G</oddFooter>
  </headerFooter>
  <drawing r:id="rId2"/>
  <legacyDrawingHF r:id="rId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61E41203-3B62-448F-9A9C-49A37A6EA28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'Dashboard 1'!U17:Y17</xm:f>
              <xm:sqref>F53</xm:sqref>
            </x14:sparkline>
          </x14:sparklines>
        </x14:sparklineGroup>
        <x14:sparklineGroup displayEmptyCellsAs="gap" xr2:uid="{2A73766C-8E07-4BE6-8CCA-E4C200073DE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'Dashboard 1'!U16:Y16</xm:f>
              <xm:sqref>F51</xm:sqref>
            </x14:sparkline>
          </x14:sparklines>
        </x14:sparklineGroup>
        <x14:sparklineGroup displayEmptyCellsAs="gap" xr2:uid="{1C75E52F-0017-499D-A2A0-091C477CA2A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'Dashboard 1'!U32:Y32</xm:f>
              <xm:sqref>F49</xm:sqref>
            </x14:sparkline>
          </x14:sparklines>
        </x14:sparklineGroup>
        <x14:sparklineGroup displayEmptyCellsAs="gap" xr2:uid="{BD998C3A-97E6-4E21-B7EB-24DE2BBD00F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'Dashboard 1'!U14:Y14</xm:f>
              <xm:sqref>F47</xm:sqref>
            </x14:sparkline>
          </x14:sparklines>
        </x14:sparklineGroup>
        <x14:sparklineGroup displayEmptyCellsAs="gap" xr2:uid="{E67C8F2B-7F9B-41AB-83B2-74CBA7A199E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'Dashboard 1'!U12:Y12</xm:f>
              <xm:sqref>F45</xm:sqref>
            </x14:sparkline>
          </x14:sparklines>
        </x14:sparklineGroup>
        <x14:sparklineGroup type="column" displayEmptyCellsAs="gap" xr2:uid="{D8B17E30-9E46-4A26-A699-D98B985FA14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'Dashboard 1'!U17:Y17</xm:f>
              <xm:sqref>E53</xm:sqref>
            </x14:sparkline>
          </x14:sparklines>
        </x14:sparklineGroup>
        <x14:sparklineGroup type="column" displayEmptyCellsAs="gap" xr2:uid="{463DECD3-9D18-4D03-821D-92F0B9AD556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'Dashboard 1'!U16:Y16</xm:f>
              <xm:sqref>E51</xm:sqref>
            </x14:sparkline>
          </x14:sparklines>
        </x14:sparklineGroup>
        <x14:sparklineGroup type="column" displayEmptyCellsAs="gap" xr2:uid="{2BEBB724-F712-4DFD-B356-895DE69F9C8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'Dashboard 1'!U32:Y32</xm:f>
              <xm:sqref>E49</xm:sqref>
            </x14:sparkline>
          </x14:sparklines>
        </x14:sparklineGroup>
        <x14:sparklineGroup type="column" displayEmptyCellsAs="gap" xr2:uid="{CC9F5A1F-17EC-4F3C-ABFE-2242396EA5C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'Dashboard 1'!U14:Y14</xm:f>
              <xm:sqref>E47</xm:sqref>
            </x14:sparkline>
          </x14:sparklines>
        </x14:sparklineGroup>
        <x14:sparklineGroup type="column" displayEmptyCellsAs="gap" xr2:uid="{C2DAB5A6-E508-41A5-9168-5CFB172C275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'Dashboard 1'!U12:Y12</xm:f>
              <xm:sqref>E45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1C9C0-A615-4197-A37A-346A41BB4CA9}">
  <sheetPr>
    <pageSetUpPr autoPageBreaks="0"/>
  </sheetPr>
  <dimension ref="A1:AH62"/>
  <sheetViews>
    <sheetView showGridLines="0" zoomScaleNormal="100" zoomScaleSheetLayoutView="70" workbookViewId="0">
      <pane ySplit="1" topLeftCell="A2" activePane="bottomLeft" state="frozen"/>
      <selection activeCell="D26" sqref="D26"/>
      <selection pane="bottomLeft" activeCell="A2" sqref="A2"/>
    </sheetView>
  </sheetViews>
  <sheetFormatPr defaultColWidth="9.140625" defaultRowHeight="15" customHeight="1" x14ac:dyDescent="0.3"/>
  <cols>
    <col min="1" max="1" width="10.7109375" style="1"/>
    <col min="2" max="4" width="11.7109375" style="1" customWidth="1"/>
    <col min="5" max="10" width="9.42578125" style="1" customWidth="1"/>
    <col min="11" max="14" width="9.7109375" style="1" customWidth="1"/>
    <col min="15" max="15" width="9.7109375" style="30" customWidth="1"/>
    <col min="16" max="19" width="9.7109375" style="1" customWidth="1"/>
    <col min="20" max="21" width="11.7109375" style="1" customWidth="1"/>
    <col min="22" max="22" width="18.28515625" style="1" bestFit="1" customWidth="1"/>
    <col min="23" max="23" width="12.85546875" style="1" bestFit="1" customWidth="1"/>
    <col min="24" max="32" width="11.28515625" style="1" customWidth="1"/>
    <col min="33" max="16384" width="9.140625" style="1"/>
  </cols>
  <sheetData>
    <row r="1" spans="1:33" ht="50.1" customHeight="1" x14ac:dyDescent="0.3">
      <c r="A1" s="4"/>
      <c r="B1" s="15"/>
      <c r="C1" s="15"/>
      <c r="D1" s="15"/>
      <c r="E1" s="16"/>
      <c r="F1" s="15"/>
      <c r="G1" s="15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</row>
    <row r="2" spans="1:33" ht="15" customHeight="1" x14ac:dyDescent="0.3">
      <c r="A2" s="4"/>
      <c r="B2" s="4"/>
      <c r="C2" s="4"/>
      <c r="D2" s="45"/>
      <c r="E2" s="4"/>
      <c r="F2" s="4"/>
      <c r="G2" s="4"/>
      <c r="H2" s="4"/>
      <c r="I2" s="4"/>
      <c r="J2" s="4"/>
      <c r="K2" s="4"/>
      <c r="L2" s="4"/>
      <c r="M2" s="4"/>
      <c r="N2" s="46"/>
      <c r="P2" s="30"/>
      <c r="Q2" s="30"/>
    </row>
    <row r="3" spans="1:33" s="18" customFormat="1" ht="15" customHeight="1" x14ac:dyDescent="0.3">
      <c r="A3" s="18" t="s">
        <v>78</v>
      </c>
      <c r="B3" s="8" t="s">
        <v>77</v>
      </c>
      <c r="C3" s="10"/>
      <c r="D3" s="11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27"/>
      <c r="U3" s="8" t="s">
        <v>70</v>
      </c>
      <c r="V3" s="10"/>
      <c r="W3" s="11"/>
      <c r="X3" s="12"/>
      <c r="Y3" s="12"/>
      <c r="Z3" s="12"/>
      <c r="AA3" s="1"/>
      <c r="AB3" s="1"/>
      <c r="AC3" s="1"/>
      <c r="AD3" s="1"/>
      <c r="AE3" s="1"/>
      <c r="AF3" s="1"/>
      <c r="AG3" s="1"/>
    </row>
    <row r="4" spans="1:33" s="18" customFormat="1" ht="15" customHeight="1" x14ac:dyDescent="0.35">
      <c r="B4" s="74"/>
      <c r="C4" s="25"/>
      <c r="D4" s="26"/>
      <c r="E4" s="27"/>
      <c r="F4" s="27"/>
      <c r="G4" s="27"/>
      <c r="H4" s="27"/>
      <c r="I4" s="27"/>
      <c r="J4" s="27"/>
      <c r="K4" s="27"/>
      <c r="L4" s="27"/>
      <c r="M4" s="1"/>
      <c r="N4" s="1"/>
      <c r="AA4" s="1"/>
      <c r="AB4" s="1"/>
      <c r="AC4" s="1"/>
      <c r="AD4" s="1"/>
      <c r="AE4" s="1"/>
      <c r="AF4" s="1"/>
      <c r="AG4" s="1"/>
    </row>
    <row r="5" spans="1:33" s="18" customFormat="1" ht="15" customHeight="1" x14ac:dyDescent="0.35">
      <c r="B5" s="74"/>
      <c r="C5" s="25"/>
      <c r="D5" s="26"/>
      <c r="E5" s="27"/>
      <c r="F5" s="27"/>
      <c r="G5" s="27"/>
      <c r="H5" s="27"/>
      <c r="I5" s="27"/>
      <c r="J5" s="27"/>
      <c r="K5" s="27"/>
      <c r="L5" s="27"/>
      <c r="M5" s="1"/>
      <c r="N5" s="1"/>
      <c r="AA5" s="1"/>
      <c r="AB5" s="1"/>
      <c r="AC5" s="1"/>
      <c r="AD5" s="1"/>
      <c r="AE5" s="1"/>
      <c r="AF5" s="1"/>
      <c r="AG5" s="1"/>
    </row>
    <row r="6" spans="1:33" ht="15" customHeight="1" x14ac:dyDescent="0.35">
      <c r="A6" s="4"/>
      <c r="B6" s="130" t="str">
        <f>CONCATENATE("Company Name: "&amp;W7)</f>
        <v>Company Name: NAMEHERE</v>
      </c>
      <c r="C6" s="82"/>
      <c r="D6" s="104"/>
      <c r="E6" s="83"/>
      <c r="F6" s="105"/>
      <c r="G6" s="105"/>
      <c r="H6" s="105"/>
      <c r="I6" s="62"/>
      <c r="J6" s="81"/>
      <c r="K6" s="130" t="str">
        <f>_xlfn.CONCAT(U8,W8)</f>
        <v>Recommendation: BUY</v>
      </c>
      <c r="L6" s="81"/>
      <c r="M6" s="104"/>
      <c r="N6" s="105"/>
      <c r="O6" s="83"/>
      <c r="P6" s="83"/>
      <c r="Q6" s="105"/>
      <c r="R6" s="130" t="str">
        <f>_xlfn.CONCAT(U9,W9)</f>
        <v>Target Price: 3685</v>
      </c>
      <c r="S6" s="81"/>
      <c r="U6" s="85" t="s">
        <v>72</v>
      </c>
    </row>
    <row r="7" spans="1:33" ht="15" customHeight="1" x14ac:dyDescent="0.35">
      <c r="A7" s="18"/>
      <c r="B7" s="80"/>
      <c r="C7" s="74"/>
      <c r="D7" s="74"/>
      <c r="E7" s="74"/>
      <c r="F7" s="74"/>
      <c r="G7" s="80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U7" s="114" t="s">
        <v>81</v>
      </c>
      <c r="V7" s="18"/>
      <c r="W7" s="113" t="s">
        <v>5</v>
      </c>
    </row>
    <row r="8" spans="1:33" ht="15" customHeight="1" x14ac:dyDescent="0.35">
      <c r="A8" s="21"/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U8" s="114" t="s">
        <v>82</v>
      </c>
      <c r="V8" s="18"/>
      <c r="W8" s="113" t="s">
        <v>71</v>
      </c>
    </row>
    <row r="9" spans="1:33" ht="15" customHeight="1" x14ac:dyDescent="0.35"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U9" s="114" t="s">
        <v>83</v>
      </c>
      <c r="W9" s="113">
        <v>3685</v>
      </c>
    </row>
    <row r="10" spans="1:33" ht="15" customHeight="1" x14ac:dyDescent="0.35"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</row>
    <row r="11" spans="1:33" ht="15" customHeight="1" x14ac:dyDescent="0.35">
      <c r="B11" s="126"/>
      <c r="C11" s="126"/>
      <c r="D11" s="126"/>
      <c r="E11" s="126"/>
      <c r="F11" s="126"/>
      <c r="G11" s="126"/>
      <c r="H11" s="126"/>
      <c r="I11" s="126"/>
      <c r="J11" s="126"/>
      <c r="K11" s="126"/>
      <c r="L11" s="126"/>
      <c r="M11" s="126"/>
      <c r="N11" s="126"/>
      <c r="O11" s="126"/>
      <c r="P11" s="126"/>
      <c r="Q11" s="126"/>
      <c r="R11" s="126"/>
      <c r="S11" s="126"/>
    </row>
    <row r="12" spans="1:33" ht="15" customHeight="1" x14ac:dyDescent="0.35">
      <c r="B12" s="126"/>
      <c r="C12" s="126"/>
      <c r="D12" s="126"/>
      <c r="E12" s="126"/>
      <c r="F12" s="126"/>
      <c r="G12" s="126"/>
      <c r="H12" s="126"/>
      <c r="I12" s="126"/>
      <c r="J12" s="126"/>
      <c r="K12" s="126"/>
      <c r="L12" s="126"/>
      <c r="M12" s="126"/>
      <c r="N12" s="126"/>
      <c r="O12" s="126"/>
      <c r="P12" s="126"/>
      <c r="Q12" s="126"/>
      <c r="R12" s="126"/>
      <c r="S12" s="126"/>
      <c r="U12" s="14"/>
      <c r="V12" s="14"/>
      <c r="W12" s="14"/>
      <c r="X12" s="14"/>
      <c r="Y12" s="14"/>
      <c r="Z12" s="14"/>
    </row>
    <row r="13" spans="1:33" ht="15" customHeight="1" x14ac:dyDescent="0.35">
      <c r="B13" s="126"/>
      <c r="C13" s="126"/>
      <c r="D13" s="126"/>
      <c r="E13" s="126"/>
      <c r="F13" s="126"/>
      <c r="G13" s="126"/>
      <c r="H13" s="126"/>
      <c r="I13" s="126"/>
      <c r="J13" s="126"/>
      <c r="K13" s="126"/>
      <c r="L13" s="126"/>
      <c r="M13" s="126"/>
      <c r="N13" s="126"/>
      <c r="O13" s="126"/>
      <c r="P13" s="126"/>
      <c r="Q13" s="126"/>
      <c r="R13" s="126"/>
      <c r="S13" s="126"/>
    </row>
    <row r="14" spans="1:33" ht="15" customHeight="1" x14ac:dyDescent="0.35">
      <c r="B14" s="126"/>
      <c r="C14" s="126"/>
      <c r="D14" s="126"/>
      <c r="E14" s="126"/>
      <c r="F14" s="126"/>
      <c r="G14" s="126"/>
      <c r="H14" s="126"/>
      <c r="I14" s="126"/>
      <c r="J14" s="126"/>
      <c r="K14" s="126"/>
      <c r="L14" s="126"/>
      <c r="M14" s="126"/>
      <c r="N14" s="126"/>
      <c r="O14" s="126"/>
      <c r="P14" s="126"/>
      <c r="Q14" s="126"/>
      <c r="R14" s="126"/>
      <c r="S14" s="126"/>
      <c r="T14" s="74"/>
      <c r="U14" s="8" t="s">
        <v>68</v>
      </c>
      <c r="V14" s="10"/>
      <c r="W14" s="11"/>
      <c r="X14" s="12"/>
      <c r="Y14" s="12"/>
      <c r="Z14" s="12"/>
    </row>
    <row r="15" spans="1:33" ht="15" customHeight="1" x14ac:dyDescent="0.35"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U15" s="18"/>
      <c r="V15" s="18"/>
      <c r="W15" s="18"/>
      <c r="X15" s="18"/>
      <c r="Y15" s="18"/>
      <c r="Z15" s="18"/>
    </row>
    <row r="16" spans="1:33" ht="15" customHeight="1" x14ac:dyDescent="0.35"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U16" s="18"/>
      <c r="V16" s="76"/>
      <c r="W16" s="18"/>
      <c r="X16" s="109" t="s">
        <v>49</v>
      </c>
      <c r="Y16" s="109" t="s">
        <v>51</v>
      </c>
      <c r="Z16" s="109" t="s">
        <v>50</v>
      </c>
    </row>
    <row r="17" spans="1:33" ht="15" customHeight="1" x14ac:dyDescent="0.35"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U17" s="106" t="s">
        <v>0</v>
      </c>
      <c r="V17" s="18"/>
      <c r="W17" s="18"/>
      <c r="X17" s="110">
        <v>1846</v>
      </c>
      <c r="Y17" s="111">
        <f>Z17-X17</f>
        <v>1685</v>
      </c>
      <c r="Z17" s="110">
        <v>3531</v>
      </c>
    </row>
    <row r="18" spans="1:33" ht="15" customHeight="1" x14ac:dyDescent="0.35">
      <c r="B18" s="74"/>
      <c r="C18" s="74"/>
      <c r="D18" s="74"/>
      <c r="E18" s="74"/>
      <c r="F18" s="74"/>
      <c r="G18" s="74"/>
      <c r="H18" s="74"/>
      <c r="I18" s="74"/>
      <c r="J18" s="74"/>
      <c r="O18" s="1"/>
      <c r="U18" s="106" t="s">
        <v>52</v>
      </c>
      <c r="V18" s="18"/>
      <c r="W18" s="18"/>
      <c r="X18" s="107">
        <v>3750</v>
      </c>
      <c r="Y18" s="108">
        <f>Z18-X18</f>
        <v>1450</v>
      </c>
      <c r="Z18" s="107">
        <v>5200</v>
      </c>
    </row>
    <row r="19" spans="1:33" s="18" customFormat="1" ht="15" customHeight="1" x14ac:dyDescent="0.35">
      <c r="B19" s="102" t="s">
        <v>65</v>
      </c>
      <c r="C19" s="88"/>
      <c r="D19" s="88"/>
      <c r="E19" s="88"/>
      <c r="F19" s="88"/>
      <c r="G19" s="88"/>
      <c r="H19" s="88"/>
      <c r="I19" s="88"/>
      <c r="K19" s="87" t="s">
        <v>64</v>
      </c>
      <c r="L19" s="88"/>
      <c r="M19" s="88"/>
      <c r="N19" s="88"/>
      <c r="O19" s="88"/>
      <c r="P19" s="88"/>
      <c r="Q19" s="88"/>
      <c r="R19" s="88"/>
      <c r="S19" s="88"/>
      <c r="U19" s="106" t="s">
        <v>66</v>
      </c>
      <c r="X19" s="107">
        <v>1897</v>
      </c>
      <c r="Y19" s="108">
        <f>Z19-X19</f>
        <v>3724</v>
      </c>
      <c r="Z19" s="107">
        <v>5621</v>
      </c>
      <c r="AA19" s="1"/>
      <c r="AB19" s="1"/>
      <c r="AC19" s="1"/>
      <c r="AD19" s="1"/>
      <c r="AE19" s="1"/>
      <c r="AF19" s="1"/>
      <c r="AG19" s="1"/>
    </row>
    <row r="20" spans="1:33" s="18" customFormat="1" ht="15" customHeight="1" x14ac:dyDescent="0.35">
      <c r="B20" s="74"/>
      <c r="C20" s="74"/>
      <c r="D20" s="74"/>
      <c r="E20" s="74"/>
      <c r="F20" s="74"/>
      <c r="G20" s="84"/>
      <c r="H20" s="74"/>
      <c r="I20" s="74"/>
      <c r="K20" s="85"/>
      <c r="L20" s="86"/>
      <c r="M20" s="86"/>
      <c r="N20" s="86"/>
      <c r="O20" s="86"/>
      <c r="P20" s="86"/>
      <c r="Q20" s="86"/>
      <c r="R20" s="86"/>
      <c r="S20" s="86"/>
      <c r="U20" s="106" t="s">
        <v>62</v>
      </c>
      <c r="X20" s="107">
        <v>2456</v>
      </c>
      <c r="Y20" s="108">
        <f>Z20-X20</f>
        <v>5016</v>
      </c>
      <c r="Z20" s="107">
        <v>7472</v>
      </c>
      <c r="AA20" s="1"/>
      <c r="AB20" s="1"/>
      <c r="AC20" s="1"/>
      <c r="AD20" s="1"/>
      <c r="AE20" s="1"/>
      <c r="AF20" s="1"/>
      <c r="AG20" s="1"/>
    </row>
    <row r="21" spans="1:33" s="18" customFormat="1" ht="15" customHeight="1" x14ac:dyDescent="0.35">
      <c r="B21" s="123"/>
      <c r="C21" s="123"/>
      <c r="D21" s="123"/>
      <c r="E21" s="123"/>
      <c r="F21" s="123"/>
      <c r="G21" s="126"/>
      <c r="H21" s="123"/>
      <c r="I21" s="127"/>
      <c r="K21" s="127"/>
      <c r="L21" s="127"/>
      <c r="M21" s="127"/>
      <c r="N21" s="127"/>
      <c r="O21" s="127"/>
      <c r="P21" s="127"/>
      <c r="Q21" s="127"/>
      <c r="R21" s="127"/>
      <c r="S21" s="127"/>
      <c r="U21" s="106" t="s">
        <v>63</v>
      </c>
      <c r="X21" s="107">
        <v>2950</v>
      </c>
      <c r="Y21" s="108">
        <f>Z21-X21</f>
        <v>3212</v>
      </c>
      <c r="Z21" s="107">
        <v>6162</v>
      </c>
      <c r="AA21" s="1"/>
      <c r="AB21" s="1"/>
      <c r="AC21" s="1"/>
      <c r="AD21" s="1"/>
      <c r="AE21" s="1"/>
      <c r="AF21" s="1"/>
      <c r="AG21" s="1"/>
    </row>
    <row r="22" spans="1:33" s="18" customFormat="1" ht="15" customHeight="1" x14ac:dyDescent="0.35">
      <c r="B22" s="123"/>
      <c r="C22" s="123"/>
      <c r="D22" s="123"/>
      <c r="E22" s="123"/>
      <c r="F22" s="123"/>
      <c r="G22" s="126"/>
      <c r="H22" s="123"/>
      <c r="I22" s="127"/>
      <c r="K22" s="127"/>
      <c r="L22" s="127"/>
      <c r="M22" s="127"/>
      <c r="N22" s="127"/>
      <c r="O22" s="127"/>
      <c r="P22" s="127"/>
      <c r="Q22" s="127"/>
      <c r="R22" s="127"/>
      <c r="S22" s="127"/>
      <c r="V22"/>
      <c r="W22"/>
      <c r="X22"/>
      <c r="Y22"/>
      <c r="Z22"/>
      <c r="AA22"/>
      <c r="AB22"/>
      <c r="AC22"/>
      <c r="AD22"/>
      <c r="AE22"/>
      <c r="AF22"/>
      <c r="AG22"/>
    </row>
    <row r="23" spans="1:33" s="18" customFormat="1" ht="15" customHeight="1" x14ac:dyDescent="0.35">
      <c r="A23" s="4"/>
      <c r="B23" s="123"/>
      <c r="C23" s="123"/>
      <c r="D23" s="123"/>
      <c r="E23" s="123"/>
      <c r="F23" s="123"/>
      <c r="G23" s="126"/>
      <c r="H23" s="123"/>
      <c r="I23" s="127"/>
      <c r="K23" s="127"/>
      <c r="L23" s="127"/>
      <c r="M23" s="127"/>
      <c r="N23" s="127"/>
      <c r="O23" s="127"/>
      <c r="P23" s="127"/>
      <c r="Q23" s="127"/>
      <c r="R23" s="127"/>
      <c r="S23" s="127"/>
      <c r="U23" s="4"/>
      <c r="V23"/>
      <c r="W23"/>
      <c r="X23"/>
      <c r="Y23"/>
      <c r="Z23"/>
      <c r="AA23"/>
      <c r="AB23"/>
      <c r="AC23"/>
      <c r="AD23"/>
      <c r="AE23"/>
      <c r="AF23"/>
      <c r="AG23"/>
    </row>
    <row r="24" spans="1:33" s="18" customFormat="1" ht="15" customHeight="1" x14ac:dyDescent="0.35">
      <c r="B24" s="123"/>
      <c r="C24" s="123"/>
      <c r="D24" s="123"/>
      <c r="E24" s="123"/>
      <c r="F24" s="123"/>
      <c r="G24" s="128"/>
      <c r="H24" s="123"/>
      <c r="I24" s="127"/>
      <c r="K24" s="127"/>
      <c r="L24" s="127"/>
      <c r="M24" s="127"/>
      <c r="N24" s="127"/>
      <c r="O24" s="127"/>
      <c r="P24" s="127"/>
      <c r="Q24" s="127"/>
      <c r="R24" s="127"/>
      <c r="S24" s="127"/>
      <c r="U24" s="57"/>
      <c r="V24" s="112"/>
      <c r="W24" s="112"/>
      <c r="X24" s="112"/>
      <c r="Y24" s="112"/>
      <c r="Z24" s="112"/>
      <c r="AA24" s="112"/>
      <c r="AB24" s="112"/>
      <c r="AC24" s="112"/>
      <c r="AD24" s="112"/>
      <c r="AE24" s="112"/>
      <c r="AF24" s="112"/>
      <c r="AG24"/>
    </row>
    <row r="25" spans="1:33" s="18" customFormat="1" ht="15" customHeight="1" x14ac:dyDescent="0.35">
      <c r="B25" s="123"/>
      <c r="C25" s="123"/>
      <c r="D25" s="123"/>
      <c r="E25" s="123"/>
      <c r="F25" s="123"/>
      <c r="G25" s="123"/>
      <c r="H25" s="123"/>
      <c r="I25" s="127"/>
      <c r="K25" s="127"/>
      <c r="L25" s="127"/>
      <c r="M25" s="127"/>
      <c r="N25" s="127"/>
      <c r="O25" s="127"/>
      <c r="P25" s="127"/>
      <c r="Q25" s="127"/>
      <c r="R25" s="127"/>
      <c r="S25" s="127"/>
      <c r="U25" s="4"/>
      <c r="V25"/>
      <c r="W25"/>
      <c r="X25"/>
      <c r="Y25"/>
      <c r="Z25"/>
      <c r="AA25"/>
      <c r="AB25"/>
      <c r="AC25"/>
      <c r="AD25"/>
      <c r="AE25"/>
      <c r="AF25"/>
      <c r="AG25"/>
    </row>
    <row r="26" spans="1:33" s="18" customFormat="1" ht="15" customHeight="1" x14ac:dyDescent="0.35">
      <c r="B26" s="123"/>
      <c r="C26" s="123"/>
      <c r="D26" s="123"/>
      <c r="E26" s="123"/>
      <c r="F26" s="123"/>
      <c r="G26" s="123"/>
      <c r="H26" s="129"/>
      <c r="I26" s="127"/>
      <c r="K26" s="127"/>
      <c r="L26" s="127"/>
      <c r="M26" s="127"/>
      <c r="N26" s="127"/>
      <c r="O26" s="127"/>
      <c r="P26" s="127"/>
      <c r="Q26" s="127"/>
      <c r="R26" s="127"/>
      <c r="S26" s="127"/>
      <c r="U26" s="8" t="s">
        <v>69</v>
      </c>
      <c r="V26" s="10"/>
      <c r="W26" s="11"/>
      <c r="X26" s="12"/>
      <c r="Y26" s="12"/>
      <c r="Z26" s="12"/>
      <c r="AA26" s="12"/>
      <c r="AB26" s="12"/>
      <c r="AC26" s="12"/>
      <c r="AD26" s="12"/>
      <c r="AE26" s="12"/>
      <c r="AF26" s="12"/>
      <c r="AG26"/>
    </row>
    <row r="27" spans="1:33" s="18" customFormat="1" ht="15" customHeight="1" x14ac:dyDescent="0.35">
      <c r="B27" s="123"/>
      <c r="C27" s="123"/>
      <c r="D27" s="123"/>
      <c r="E27" s="123"/>
      <c r="F27" s="123"/>
      <c r="G27" s="123"/>
      <c r="H27" s="125"/>
      <c r="I27" s="127"/>
      <c r="K27" s="127"/>
      <c r="L27" s="127"/>
      <c r="M27" s="127"/>
      <c r="N27" s="127"/>
      <c r="O27" s="127"/>
      <c r="P27" s="127"/>
      <c r="Q27" s="127"/>
      <c r="R27" s="127"/>
      <c r="S27" s="127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/>
    </row>
    <row r="28" spans="1:33" s="4" customFormat="1" ht="15" customHeight="1" thickBot="1" x14ac:dyDescent="0.4">
      <c r="B28" s="123"/>
      <c r="C28" s="123"/>
      <c r="D28" s="123"/>
      <c r="E28" s="123"/>
      <c r="F28" s="123"/>
      <c r="G28" s="123"/>
      <c r="H28" s="125"/>
      <c r="I28" s="122"/>
      <c r="K28" s="122"/>
      <c r="L28" s="122"/>
      <c r="M28" s="122"/>
      <c r="N28" s="122"/>
      <c r="O28" s="122"/>
      <c r="P28" s="122"/>
      <c r="Q28" s="122"/>
      <c r="R28" s="122"/>
      <c r="S28" s="122"/>
      <c r="U28" s="28" t="s">
        <v>61</v>
      </c>
      <c r="V28" s="1"/>
      <c r="W28" s="1"/>
      <c r="X28" s="20">
        <v>1</v>
      </c>
      <c r="Y28" s="20">
        <f>X28+1</f>
        <v>2</v>
      </c>
      <c r="Z28" s="20">
        <f t="shared" ref="Z28:AF28" si="0">Y28+1</f>
        <v>3</v>
      </c>
      <c r="AA28" s="20">
        <f t="shared" si="0"/>
        <v>4</v>
      </c>
      <c r="AB28" s="20">
        <f t="shared" si="0"/>
        <v>5</v>
      </c>
      <c r="AC28" s="20">
        <f t="shared" si="0"/>
        <v>6</v>
      </c>
      <c r="AD28" s="20">
        <f t="shared" si="0"/>
        <v>7</v>
      </c>
      <c r="AE28" s="20">
        <f t="shared" si="0"/>
        <v>8</v>
      </c>
      <c r="AF28" s="20">
        <f t="shared" si="0"/>
        <v>9</v>
      </c>
      <c r="AG28"/>
    </row>
    <row r="29" spans="1:33" s="4" customFormat="1" ht="15" customHeight="1" x14ac:dyDescent="0.35">
      <c r="B29" s="123"/>
      <c r="C29" s="123"/>
      <c r="D29" s="123"/>
      <c r="E29" s="123"/>
      <c r="F29" s="123"/>
      <c r="G29" s="123"/>
      <c r="H29" s="125"/>
      <c r="I29" s="122"/>
      <c r="K29" s="122"/>
      <c r="L29" s="122"/>
      <c r="M29" s="122"/>
      <c r="N29" s="122"/>
      <c r="O29" s="122"/>
      <c r="P29" s="122"/>
      <c r="Q29" s="122"/>
      <c r="R29" s="122"/>
      <c r="S29" s="122"/>
      <c r="U29" s="85"/>
      <c r="V29" s="86"/>
      <c r="W29" s="89"/>
      <c r="X29" s="89"/>
      <c r="Y29" s="89"/>
      <c r="Z29" s="89"/>
      <c r="AA29" s="89"/>
      <c r="AB29" s="89"/>
      <c r="AC29" s="89"/>
      <c r="AD29" s="89"/>
      <c r="AE29" s="89"/>
      <c r="AG29"/>
    </row>
    <row r="30" spans="1:33" s="4" customFormat="1" ht="15" customHeight="1" x14ac:dyDescent="0.35">
      <c r="B30" s="123"/>
      <c r="C30" s="123"/>
      <c r="D30" s="123"/>
      <c r="E30" s="123"/>
      <c r="F30" s="123"/>
      <c r="G30" s="123"/>
      <c r="H30" s="125"/>
      <c r="I30" s="122"/>
      <c r="K30" s="122"/>
      <c r="L30" s="122"/>
      <c r="M30" s="122"/>
      <c r="N30" s="122"/>
      <c r="O30" s="122"/>
      <c r="P30" s="122"/>
      <c r="Q30" s="122"/>
      <c r="R30" s="122"/>
      <c r="S30" s="122"/>
      <c r="U30" s="79" t="s">
        <v>74</v>
      </c>
      <c r="V30" s="79"/>
      <c r="X30" s="78"/>
      <c r="Y30" s="91">
        <f t="shared" ref="Y30:AF30" si="1">Y38/X38-1</f>
        <v>0.28205128205128194</v>
      </c>
      <c r="Z30" s="91">
        <f t="shared" si="1"/>
        <v>0.17393620259329157</v>
      </c>
      <c r="AA30" s="91">
        <f t="shared" si="1"/>
        <v>0.3795411626932168</v>
      </c>
      <c r="AB30" s="91">
        <f t="shared" si="1"/>
        <v>0.26218995370818909</v>
      </c>
      <c r="AC30" s="91">
        <f t="shared" si="1"/>
        <v>0.21500872255125758</v>
      </c>
      <c r="AD30" s="91">
        <f t="shared" si="1"/>
        <v>0.17549622092359374</v>
      </c>
      <c r="AE30" s="91">
        <f t="shared" si="1"/>
        <v>0.14269981950798849</v>
      </c>
      <c r="AF30" s="91">
        <f t="shared" si="1"/>
        <v>0.11567134769410004</v>
      </c>
      <c r="AG30"/>
    </row>
    <row r="31" spans="1:33" s="4" customFormat="1" ht="15" customHeight="1" x14ac:dyDescent="0.35">
      <c r="B31" s="123"/>
      <c r="C31" s="123"/>
      <c r="D31" s="123"/>
      <c r="E31" s="123"/>
      <c r="F31" s="123"/>
      <c r="G31" s="123"/>
      <c r="H31" s="125"/>
      <c r="I31" s="122"/>
      <c r="K31" s="122"/>
      <c r="L31" s="122"/>
      <c r="M31" s="122"/>
      <c r="N31" s="122"/>
      <c r="O31" s="122"/>
      <c r="P31" s="122"/>
      <c r="Q31" s="122"/>
      <c r="R31" s="122"/>
      <c r="S31" s="122"/>
      <c r="U31" s="79" t="s">
        <v>75</v>
      </c>
      <c r="V31" s="79"/>
      <c r="X31" s="78"/>
      <c r="Y31" s="91"/>
      <c r="Z31" s="91">
        <f t="shared" ref="Z31:AF31" si="2">Z40/Y40-1</f>
        <v>0.30180831826401455</v>
      </c>
      <c r="AA31" s="91">
        <f t="shared" si="2"/>
        <v>0.32791591424734912</v>
      </c>
      <c r="AB31" s="91">
        <f t="shared" si="2"/>
        <v>-9.253018673239688E-2</v>
      </c>
      <c r="AC31" s="91">
        <f t="shared" si="2"/>
        <v>0.28483874732158454</v>
      </c>
      <c r="AD31" s="91">
        <f t="shared" si="2"/>
        <v>0.24615264504943735</v>
      </c>
      <c r="AE31" s="91">
        <f t="shared" si="2"/>
        <v>0.21300975347971285</v>
      </c>
      <c r="AF31" s="91">
        <f t="shared" si="2"/>
        <v>0.18492022205011693</v>
      </c>
      <c r="AG31"/>
    </row>
    <row r="32" spans="1:33" s="4" customFormat="1" ht="15" customHeight="1" x14ac:dyDescent="0.35">
      <c r="B32" s="123"/>
      <c r="C32" s="123"/>
      <c r="D32" s="123"/>
      <c r="E32" s="123"/>
      <c r="F32" s="125"/>
      <c r="G32" s="123"/>
      <c r="H32" s="123"/>
      <c r="I32" s="122"/>
      <c r="K32" s="122"/>
      <c r="L32" s="122"/>
      <c r="M32" s="122"/>
      <c r="N32" s="122"/>
      <c r="O32" s="122"/>
      <c r="P32" s="122"/>
      <c r="Q32" s="122"/>
      <c r="R32" s="122"/>
      <c r="S32" s="122"/>
      <c r="U32" s="1"/>
      <c r="V32" s="1"/>
      <c r="X32" s="1"/>
      <c r="Y32" s="1"/>
      <c r="Z32" s="1"/>
      <c r="AA32" s="1"/>
      <c r="AB32" s="1"/>
      <c r="AC32" s="1"/>
      <c r="AD32" s="1"/>
      <c r="AE32" s="1"/>
      <c r="AF32" s="1"/>
      <c r="AG32"/>
    </row>
    <row r="33" spans="2:33" s="4" customFormat="1" ht="15" customHeight="1" x14ac:dyDescent="0.35">
      <c r="B33" s="123"/>
      <c r="C33" s="123"/>
      <c r="D33" s="123"/>
      <c r="E33" s="123"/>
      <c r="F33" s="123"/>
      <c r="G33" s="123"/>
      <c r="H33" s="123"/>
      <c r="I33" s="123"/>
      <c r="J33" s="74"/>
      <c r="K33" s="122"/>
      <c r="L33" s="122"/>
      <c r="M33" s="122"/>
      <c r="N33" s="122"/>
      <c r="O33" s="122"/>
      <c r="P33" s="122"/>
      <c r="Q33" s="122"/>
      <c r="R33" s="122"/>
      <c r="S33" s="122"/>
      <c r="U33" s="77" t="s">
        <v>22</v>
      </c>
      <c r="V33" s="1"/>
      <c r="X33" s="1"/>
      <c r="Y33" s="1"/>
      <c r="Z33" s="1"/>
      <c r="AA33" s="1"/>
      <c r="AB33" s="1"/>
      <c r="AC33" s="1"/>
      <c r="AD33" s="1"/>
      <c r="AE33" s="1"/>
      <c r="AF33" s="1"/>
      <c r="AG33"/>
    </row>
    <row r="34" spans="2:33" s="4" customFormat="1" ht="15" customHeight="1" x14ac:dyDescent="0.35">
      <c r="B34" s="123"/>
      <c r="C34" s="123"/>
      <c r="D34" s="123"/>
      <c r="E34" s="123"/>
      <c r="F34" s="123"/>
      <c r="G34" s="123"/>
      <c r="H34" s="123"/>
      <c r="I34" s="123"/>
      <c r="J34" s="74"/>
      <c r="K34" s="122"/>
      <c r="L34" s="122"/>
      <c r="M34" s="122"/>
      <c r="N34" s="122"/>
      <c r="O34" s="122"/>
      <c r="P34" s="122"/>
      <c r="Q34" s="122"/>
      <c r="R34" s="122"/>
      <c r="S34" s="122"/>
      <c r="U34" s="93" t="s">
        <v>1</v>
      </c>
      <c r="V34" s="76"/>
      <c r="X34" s="92">
        <v>95929.86</v>
      </c>
      <c r="Y34" s="92">
        <v>122987</v>
      </c>
      <c r="Z34" s="92">
        <v>141247</v>
      </c>
      <c r="AA34" s="92">
        <v>197346</v>
      </c>
      <c r="AB34" s="92">
        <v>240060.50332375269</v>
      </c>
      <c r="AC34" s="92">
        <v>281628.36957743583</v>
      </c>
      <c r="AD34" s="92">
        <v>320640.83597737399</v>
      </c>
      <c r="AE34" s="92">
        <v>356174.15915439423</v>
      </c>
      <c r="AF34" s="92">
        <v>387751.05163836869</v>
      </c>
      <c r="AG34"/>
    </row>
    <row r="35" spans="2:33" s="4" customFormat="1" ht="15" customHeight="1" x14ac:dyDescent="0.35">
      <c r="B35" s="123"/>
      <c r="C35" s="123"/>
      <c r="D35" s="123"/>
      <c r="E35" s="123"/>
      <c r="F35" s="123"/>
      <c r="G35" s="123"/>
      <c r="H35" s="123"/>
      <c r="I35" s="123"/>
      <c r="J35" s="74"/>
      <c r="K35" s="122"/>
      <c r="L35" s="122"/>
      <c r="M35" s="122"/>
      <c r="N35" s="122"/>
      <c r="O35" s="122"/>
      <c r="P35" s="122"/>
      <c r="Q35" s="122"/>
      <c r="R35" s="122"/>
      <c r="S35" s="122"/>
      <c r="U35" s="93" t="s">
        <v>57</v>
      </c>
      <c r="V35" s="76"/>
      <c r="X35" s="92">
        <v>33341.1</v>
      </c>
      <c r="Y35" s="92">
        <v>42745</v>
      </c>
      <c r="Z35" s="92">
        <v>53762</v>
      </c>
      <c r="AA35" s="92">
        <v>80461</v>
      </c>
      <c r="AB35" s="92">
        <v>110265.2049812593</v>
      </c>
      <c r="AC35" s="92">
        <v>142940.58084347358</v>
      </c>
      <c r="AD35" s="92">
        <v>176827.15244739919</v>
      </c>
      <c r="AE35" s="92">
        <v>210363.13461603833</v>
      </c>
      <c r="AF35" s="92">
        <v>242280.10769977816</v>
      </c>
      <c r="AG35"/>
    </row>
    <row r="36" spans="2:33" s="4" customFormat="1" ht="15" customHeight="1" x14ac:dyDescent="0.35">
      <c r="J36" s="74"/>
      <c r="U36" s="93" t="s">
        <v>3</v>
      </c>
      <c r="V36" s="76"/>
      <c r="X36" s="92">
        <v>11051.04</v>
      </c>
      <c r="Y36" s="92">
        <v>14168</v>
      </c>
      <c r="Z36" s="92">
        <v>19210</v>
      </c>
      <c r="AA36" s="92">
        <v>25207</v>
      </c>
      <c r="AB36" s="92">
        <v>35578.724706744033</v>
      </c>
      <c r="AC36" s="92">
        <v>47290.16162745277</v>
      </c>
      <c r="AD36" s="92">
        <v>59743.350985643629</v>
      </c>
      <c r="AE36" s="92">
        <v>72329.398266736898</v>
      </c>
      <c r="AF36" s="92">
        <v>84519.423919860128</v>
      </c>
      <c r="AG36"/>
    </row>
    <row r="37" spans="2:33" s="4" customFormat="1" ht="15" customHeight="1" x14ac:dyDescent="0.3">
      <c r="U37" s="93" t="s">
        <v>2</v>
      </c>
      <c r="V37" s="76"/>
      <c r="X37" s="92">
        <v>13434.720000000001</v>
      </c>
      <c r="Y37" s="92">
        <v>17224</v>
      </c>
      <c r="Z37" s="92">
        <v>17192</v>
      </c>
      <c r="AA37" s="92">
        <v>16227</v>
      </c>
      <c r="AB37" s="92">
        <v>17038.350000000002</v>
      </c>
      <c r="AC37" s="92">
        <v>17719.884000000002</v>
      </c>
      <c r="AD37" s="92">
        <v>18286.920288000001</v>
      </c>
      <c r="AE37" s="92">
        <v>18755.065447372803</v>
      </c>
      <c r="AF37" s="92">
        <v>19139.169187734999</v>
      </c>
      <c r="AG37"/>
    </row>
    <row r="38" spans="2:33" s="4" customFormat="1" ht="15" customHeight="1" x14ac:dyDescent="0.35"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5"/>
      <c r="Q38" s="74"/>
      <c r="R38" s="74"/>
      <c r="S38" s="121"/>
      <c r="U38" s="93" t="s">
        <v>47</v>
      </c>
      <c r="V38" s="76"/>
      <c r="X38" s="94">
        <f t="shared" ref="X38:AF38" si="3">SUM(X34:X37)</f>
        <v>153756.72</v>
      </c>
      <c r="Y38" s="94">
        <f t="shared" si="3"/>
        <v>197124</v>
      </c>
      <c r="Z38" s="94">
        <f t="shared" si="3"/>
        <v>231411</v>
      </c>
      <c r="AA38" s="94">
        <f t="shared" si="3"/>
        <v>319241</v>
      </c>
      <c r="AB38" s="94">
        <f t="shared" si="3"/>
        <v>402942.78301175596</v>
      </c>
      <c r="AC38" s="94">
        <f t="shared" si="3"/>
        <v>489578.99604836223</v>
      </c>
      <c r="AD38" s="94">
        <f t="shared" si="3"/>
        <v>575498.2596984168</v>
      </c>
      <c r="AE38" s="94">
        <f t="shared" si="3"/>
        <v>657621.75748454232</v>
      </c>
      <c r="AF38" s="94">
        <f t="shared" si="3"/>
        <v>733689.75244574202</v>
      </c>
      <c r="AG38"/>
    </row>
    <row r="39" spans="2:33" s="4" customFormat="1" ht="15" customHeight="1" x14ac:dyDescent="0.35">
      <c r="B39" s="95" t="s">
        <v>48</v>
      </c>
      <c r="C39" s="96"/>
      <c r="D39" s="96"/>
      <c r="E39" s="97"/>
      <c r="F39" s="97"/>
      <c r="G39" s="97"/>
      <c r="H39" s="97"/>
      <c r="I39" s="97"/>
      <c r="J39" s="74"/>
      <c r="K39" s="95" t="s">
        <v>60</v>
      </c>
      <c r="L39" s="96"/>
      <c r="M39" s="96"/>
      <c r="N39" s="97"/>
      <c r="O39" s="97"/>
      <c r="P39" s="97"/>
      <c r="Q39" s="97"/>
      <c r="R39" s="97"/>
      <c r="S39" s="97"/>
      <c r="U39" s="1"/>
      <c r="V39" s="1"/>
      <c r="X39" s="1"/>
      <c r="Y39" s="1"/>
      <c r="Z39" s="1"/>
      <c r="AA39" s="1"/>
      <c r="AB39" s="1"/>
      <c r="AC39" s="1"/>
      <c r="AD39" s="1"/>
      <c r="AE39" s="1"/>
      <c r="AF39" s="1"/>
      <c r="AG39"/>
    </row>
    <row r="40" spans="2:33" s="4" customFormat="1" ht="15" customHeight="1" x14ac:dyDescent="0.35">
      <c r="B40" s="74"/>
      <c r="C40" s="74"/>
      <c r="D40" s="74"/>
      <c r="E40" s="74"/>
      <c r="F40" s="74"/>
      <c r="G40" s="74"/>
      <c r="H40" s="74"/>
      <c r="I40" s="74"/>
      <c r="J40" s="1"/>
      <c r="K40" s="74"/>
      <c r="L40" s="74"/>
      <c r="M40" s="74"/>
      <c r="N40" s="74"/>
      <c r="O40" s="74"/>
      <c r="P40" s="74"/>
      <c r="Q40" s="74"/>
      <c r="R40" s="74"/>
      <c r="S40" s="74"/>
      <c r="U40" s="93" t="s">
        <v>34</v>
      </c>
      <c r="V40" s="76"/>
      <c r="X40" s="92">
        <v>22142</v>
      </c>
      <c r="Y40" s="92">
        <v>33180</v>
      </c>
      <c r="Z40" s="92">
        <v>43194</v>
      </c>
      <c r="AA40" s="92">
        <v>57358</v>
      </c>
      <c r="AB40" s="92">
        <v>52050.653549403178</v>
      </c>
      <c r="AC40" s="92">
        <v>66876.696503684972</v>
      </c>
      <c r="AD40" s="92">
        <v>83338.572240235488</v>
      </c>
      <c r="AE40" s="92">
        <v>101090.50096847929</v>
      </c>
      <c r="AF40" s="92">
        <v>119784.17885472803</v>
      </c>
      <c r="AG40"/>
    </row>
    <row r="41" spans="2:33" s="4" customFormat="1" ht="15" customHeight="1" x14ac:dyDescent="0.35">
      <c r="B41" s="122"/>
      <c r="C41" s="122"/>
      <c r="D41" s="122"/>
      <c r="E41" s="122"/>
      <c r="F41" s="122"/>
      <c r="G41" s="122"/>
      <c r="H41" s="122"/>
      <c r="I41" s="122"/>
      <c r="K41" s="123"/>
      <c r="L41" s="123"/>
      <c r="M41" s="123"/>
      <c r="N41" s="123"/>
      <c r="O41" s="123"/>
      <c r="P41" s="125"/>
      <c r="Q41" s="123"/>
      <c r="R41" s="123"/>
      <c r="S41" s="122"/>
      <c r="U41" s="93" t="s">
        <v>59</v>
      </c>
      <c r="V41" s="76"/>
      <c r="X41" s="92">
        <v>13876</v>
      </c>
      <c r="Y41" s="92">
        <v>17748.438000000002</v>
      </c>
      <c r="Z41" s="92">
        <v>24095.797999999995</v>
      </c>
      <c r="AA41" s="92">
        <v>25214.521999999997</v>
      </c>
      <c r="AB41" s="92">
        <v>20613.91861976662</v>
      </c>
      <c r="AC41" s="92">
        <v>40835.291584577695</v>
      </c>
      <c r="AD41" s="92">
        <v>48539.052532119618</v>
      </c>
      <c r="AE41" s="92">
        <v>56623.673220765355</v>
      </c>
      <c r="AF41" s="92">
        <v>65479.927654103223</v>
      </c>
      <c r="AG41"/>
    </row>
    <row r="42" spans="2:33" s="4" customFormat="1" ht="15" customHeight="1" x14ac:dyDescent="0.35">
      <c r="B42" s="122"/>
      <c r="C42" s="122"/>
      <c r="D42" s="122"/>
      <c r="E42" s="122"/>
      <c r="F42" s="122"/>
      <c r="G42" s="122"/>
      <c r="H42" s="122"/>
      <c r="I42" s="122"/>
      <c r="K42" s="123"/>
      <c r="L42" s="123"/>
      <c r="M42" s="123"/>
      <c r="N42" s="123"/>
      <c r="O42" s="123"/>
      <c r="P42" s="125"/>
      <c r="Q42" s="123"/>
      <c r="R42" s="123"/>
      <c r="S42" s="122"/>
      <c r="U42" s="93" t="s">
        <v>67</v>
      </c>
      <c r="V42" s="76"/>
      <c r="X42" s="92">
        <v>9865</v>
      </c>
      <c r="Y42" s="92">
        <v>10073</v>
      </c>
      <c r="Z42" s="92">
        <v>11588</v>
      </c>
      <c r="AA42" s="92">
        <v>21331</v>
      </c>
      <c r="AB42" s="92">
        <v>15971.634341949975</v>
      </c>
      <c r="AC42" s="92">
        <v>19829.125474541652</v>
      </c>
      <c r="AD42" s="92">
        <v>24144.008065277267</v>
      </c>
      <c r="AE42" s="92">
        <v>28514.286746040711</v>
      </c>
      <c r="AF42" s="92">
        <v>32788.30168889997</v>
      </c>
      <c r="AG42"/>
    </row>
    <row r="43" spans="2:33" s="4" customFormat="1" ht="15" customHeight="1" x14ac:dyDescent="0.35">
      <c r="B43" s="122"/>
      <c r="C43" s="122"/>
      <c r="D43" s="122"/>
      <c r="E43" s="122"/>
      <c r="F43" s="122"/>
      <c r="G43" s="122"/>
      <c r="H43" s="122"/>
      <c r="I43" s="122"/>
      <c r="K43" s="123"/>
      <c r="L43" s="123"/>
      <c r="M43" s="123"/>
      <c r="N43" s="123"/>
      <c r="O43" s="123"/>
      <c r="P43" s="125"/>
      <c r="Q43" s="123"/>
      <c r="R43" s="123"/>
      <c r="S43" s="122"/>
      <c r="U43" s="1"/>
      <c r="V43" s="1"/>
      <c r="X43" s="1"/>
      <c r="Y43" s="1"/>
      <c r="Z43" s="1"/>
      <c r="AA43" s="1"/>
      <c r="AB43" s="30"/>
      <c r="AC43" s="1"/>
      <c r="AD43" s="1"/>
      <c r="AE43" s="1"/>
      <c r="AF43" s="1"/>
      <c r="AG43"/>
    </row>
    <row r="44" spans="2:33" s="4" customFormat="1" ht="15" customHeight="1" x14ac:dyDescent="0.35">
      <c r="B44" s="122"/>
      <c r="C44" s="122"/>
      <c r="D44" s="122"/>
      <c r="E44" s="122"/>
      <c r="F44" s="122"/>
      <c r="G44" s="122"/>
      <c r="H44" s="122"/>
      <c r="I44" s="122"/>
      <c r="K44" s="123"/>
      <c r="L44" s="123"/>
      <c r="M44" s="123"/>
      <c r="N44" s="123"/>
      <c r="O44" s="123"/>
      <c r="P44" s="125"/>
      <c r="Q44" s="123"/>
      <c r="R44" s="123"/>
      <c r="S44" s="122"/>
      <c r="U44" s="18"/>
      <c r="V44" s="18"/>
      <c r="X44" s="74"/>
      <c r="Y44" s="18"/>
      <c r="Z44" s="74"/>
      <c r="AA44" s="74"/>
      <c r="AB44" s="74"/>
      <c r="AC44" s="76"/>
      <c r="AD44" s="74"/>
      <c r="AE44" s="74"/>
      <c r="AG44"/>
    </row>
    <row r="45" spans="2:33" s="4" customFormat="1" ht="15" customHeight="1" x14ac:dyDescent="0.35">
      <c r="B45" s="122"/>
      <c r="C45" s="122"/>
      <c r="D45" s="122"/>
      <c r="E45" s="122"/>
      <c r="F45" s="122"/>
      <c r="G45" s="122"/>
      <c r="H45" s="122"/>
      <c r="I45" s="122"/>
      <c r="K45" s="122"/>
      <c r="L45" s="122"/>
      <c r="M45" s="122"/>
      <c r="N45" s="122"/>
      <c r="O45" s="122"/>
      <c r="P45" s="122"/>
      <c r="Q45" s="122"/>
      <c r="R45" s="122"/>
      <c r="S45" s="122"/>
      <c r="U45" s="18"/>
      <c r="V45" s="18"/>
      <c r="X45" s="74"/>
      <c r="Y45" s="18"/>
      <c r="Z45" s="74"/>
      <c r="AA45" s="74"/>
      <c r="AB45" s="74"/>
      <c r="AC45" s="76"/>
      <c r="AD45" s="74"/>
      <c r="AE45" s="74"/>
      <c r="AF45" s="103" t="s">
        <v>73</v>
      </c>
      <c r="AG45"/>
    </row>
    <row r="46" spans="2:33" s="4" customFormat="1" ht="15" customHeight="1" x14ac:dyDescent="0.35">
      <c r="B46" s="122"/>
      <c r="C46" s="122"/>
      <c r="D46" s="122"/>
      <c r="E46" s="122"/>
      <c r="F46" s="122"/>
      <c r="G46" s="122"/>
      <c r="H46" s="122"/>
      <c r="I46" s="122"/>
      <c r="K46" s="122"/>
      <c r="L46" s="122"/>
      <c r="M46" s="122"/>
      <c r="N46" s="122"/>
      <c r="O46" s="122"/>
      <c r="P46" s="122"/>
      <c r="Q46" s="122"/>
      <c r="R46" s="122"/>
      <c r="S46" s="122"/>
      <c r="U46" s="18"/>
      <c r="V46" s="18"/>
      <c r="X46" s="74"/>
      <c r="Y46" s="18"/>
      <c r="Z46" s="74"/>
      <c r="AA46" s="74"/>
      <c r="AB46" s="74"/>
      <c r="AC46" s="76"/>
      <c r="AD46" s="74"/>
      <c r="AE46" s="74"/>
      <c r="AF46" s="115" t="s">
        <v>58</v>
      </c>
      <c r="AG46"/>
    </row>
    <row r="47" spans="2:33" s="4" customFormat="1" ht="15" customHeight="1" x14ac:dyDescent="0.35">
      <c r="B47" s="122"/>
      <c r="C47" s="122"/>
      <c r="D47" s="122"/>
      <c r="E47" s="122"/>
      <c r="F47" s="122"/>
      <c r="G47" s="122"/>
      <c r="H47" s="122"/>
      <c r="I47" s="122"/>
      <c r="K47" s="122"/>
      <c r="L47" s="122"/>
      <c r="M47" s="122"/>
      <c r="N47" s="122"/>
      <c r="O47" s="122"/>
      <c r="P47" s="122"/>
      <c r="Q47" s="122"/>
      <c r="R47" s="122"/>
      <c r="S47" s="122"/>
      <c r="U47" s="18"/>
      <c r="V47" s="18"/>
      <c r="X47" s="74"/>
      <c r="Y47" s="18"/>
      <c r="Z47" s="74"/>
      <c r="AA47" s="74"/>
      <c r="AB47" s="74"/>
      <c r="AC47" s="76"/>
      <c r="AD47" s="74"/>
      <c r="AE47" s="74"/>
      <c r="AG47"/>
    </row>
    <row r="48" spans="2:33" s="4" customFormat="1" ht="15" customHeight="1" x14ac:dyDescent="0.35">
      <c r="B48" s="122"/>
      <c r="C48" s="122"/>
      <c r="D48" s="122"/>
      <c r="E48" s="122"/>
      <c r="F48" s="122"/>
      <c r="G48" s="122"/>
      <c r="H48" s="122"/>
      <c r="I48" s="122"/>
      <c r="K48" s="122"/>
      <c r="L48" s="122"/>
      <c r="M48" s="122"/>
      <c r="N48" s="122"/>
      <c r="O48" s="122"/>
      <c r="P48" s="122"/>
      <c r="Q48" s="122"/>
      <c r="R48" s="122"/>
      <c r="S48" s="122"/>
      <c r="U48" s="18"/>
      <c r="V48" s="18"/>
      <c r="X48" s="74"/>
      <c r="Y48" s="18"/>
      <c r="Z48" s="74"/>
      <c r="AA48" s="74"/>
      <c r="AB48" s="74"/>
      <c r="AC48" s="76"/>
      <c r="AD48" s="74"/>
      <c r="AE48" s="74"/>
      <c r="AG48"/>
    </row>
    <row r="49" spans="2:34" s="4" customFormat="1" ht="15" customHeight="1" x14ac:dyDescent="0.35">
      <c r="B49" s="122"/>
      <c r="C49" s="122"/>
      <c r="D49" s="122"/>
      <c r="E49" s="122"/>
      <c r="F49" s="122"/>
      <c r="G49" s="122"/>
      <c r="H49" s="122"/>
      <c r="I49" s="122"/>
      <c r="K49" s="122"/>
      <c r="L49" s="122"/>
      <c r="M49" s="122"/>
      <c r="N49" s="122"/>
      <c r="O49" s="122"/>
      <c r="P49" s="122"/>
      <c r="Q49" s="122"/>
      <c r="R49" s="122"/>
      <c r="S49" s="122"/>
      <c r="U49" s="18"/>
      <c r="V49" s="18"/>
      <c r="X49" s="74"/>
      <c r="Y49" s="18"/>
      <c r="Z49" s="74"/>
      <c r="AA49" s="74"/>
      <c r="AB49" s="74"/>
      <c r="AC49" s="76"/>
      <c r="AD49" s="74"/>
      <c r="AE49" s="74"/>
      <c r="AG49"/>
    </row>
    <row r="50" spans="2:34" s="4" customFormat="1" ht="15" customHeight="1" x14ac:dyDescent="0.3">
      <c r="B50" s="122"/>
      <c r="C50" s="122"/>
      <c r="D50" s="122"/>
      <c r="E50" s="122"/>
      <c r="F50" s="122"/>
      <c r="G50" s="122"/>
      <c r="H50" s="122"/>
      <c r="I50" s="122"/>
      <c r="K50" s="122"/>
      <c r="L50" s="122"/>
      <c r="M50" s="122"/>
      <c r="N50" s="122"/>
      <c r="O50" s="122"/>
      <c r="P50" s="122"/>
      <c r="Q50" s="122"/>
      <c r="R50" s="122"/>
      <c r="S50" s="122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G50"/>
    </row>
    <row r="51" spans="2:34" s="4" customFormat="1" ht="15" customHeight="1" x14ac:dyDescent="0.3">
      <c r="B51" s="122"/>
      <c r="C51" s="122"/>
      <c r="D51" s="122"/>
      <c r="E51" s="122"/>
      <c r="F51" s="122"/>
      <c r="G51" s="122"/>
      <c r="H51" s="122"/>
      <c r="I51" s="122"/>
      <c r="K51" s="122"/>
      <c r="L51" s="122"/>
      <c r="M51" s="122"/>
      <c r="N51" s="122"/>
      <c r="O51" s="122"/>
      <c r="P51" s="122"/>
      <c r="Q51" s="122"/>
      <c r="R51" s="122"/>
      <c r="S51" s="122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/>
    </row>
    <row r="52" spans="2:34" s="4" customFormat="1" ht="15" customHeight="1" x14ac:dyDescent="0.3">
      <c r="B52" s="122"/>
      <c r="C52" s="122"/>
      <c r="D52" s="122"/>
      <c r="E52" s="122"/>
      <c r="F52" s="122"/>
      <c r="G52" s="122"/>
      <c r="H52" s="122"/>
      <c r="I52" s="122"/>
      <c r="K52" s="122"/>
      <c r="L52" s="122"/>
      <c r="M52" s="122"/>
      <c r="N52" s="122"/>
      <c r="O52" s="122"/>
      <c r="P52" s="122"/>
      <c r="Q52" s="122"/>
      <c r="R52" s="122"/>
      <c r="S52" s="122"/>
      <c r="AG52"/>
    </row>
    <row r="53" spans="2:34" s="4" customFormat="1" ht="15" customHeight="1" x14ac:dyDescent="0.3">
      <c r="B53" s="122"/>
      <c r="C53" s="122"/>
      <c r="D53" s="122"/>
      <c r="E53" s="122"/>
      <c r="F53" s="122"/>
      <c r="G53" s="122"/>
      <c r="H53" s="122"/>
      <c r="I53" s="122"/>
      <c r="K53" s="122"/>
      <c r="L53" s="122"/>
      <c r="M53" s="122"/>
      <c r="N53" s="122"/>
      <c r="O53" s="122"/>
      <c r="P53" s="122"/>
      <c r="Q53" s="122"/>
      <c r="R53" s="122"/>
      <c r="S53" s="122"/>
      <c r="AG53"/>
    </row>
    <row r="54" spans="2:34" s="4" customFormat="1" ht="15" customHeight="1" x14ac:dyDescent="0.3">
      <c r="B54" s="122"/>
      <c r="C54" s="122"/>
      <c r="D54" s="122"/>
      <c r="E54" s="122"/>
      <c r="F54" s="122"/>
      <c r="G54" s="122"/>
      <c r="H54" s="122"/>
      <c r="I54" s="122"/>
      <c r="K54" s="122"/>
      <c r="L54" s="122"/>
      <c r="M54" s="122"/>
      <c r="N54" s="122"/>
      <c r="O54" s="122"/>
      <c r="P54" s="122"/>
      <c r="Q54" s="122"/>
      <c r="R54" s="122"/>
      <c r="S54" s="122"/>
      <c r="AG54"/>
    </row>
    <row r="55" spans="2:34" s="4" customFormat="1" ht="15" customHeight="1" x14ac:dyDescent="0.3">
      <c r="B55" s="122"/>
      <c r="C55" s="122"/>
      <c r="D55" s="122"/>
      <c r="E55" s="122"/>
      <c r="F55" s="122"/>
      <c r="G55" s="122"/>
      <c r="H55" s="122"/>
      <c r="I55" s="122"/>
      <c r="K55" s="122"/>
      <c r="L55" s="122"/>
      <c r="M55" s="122"/>
      <c r="N55" s="122"/>
      <c r="O55" s="122"/>
      <c r="P55" s="122"/>
      <c r="Q55" s="122"/>
      <c r="R55" s="122"/>
      <c r="S55" s="122"/>
      <c r="AG55"/>
    </row>
    <row r="56" spans="2:34" s="4" customFormat="1" ht="15" customHeight="1" x14ac:dyDescent="0.35">
      <c r="B56" s="123"/>
      <c r="C56" s="123"/>
      <c r="D56" s="123"/>
      <c r="E56" s="123"/>
      <c r="F56" s="123"/>
      <c r="G56" s="123"/>
      <c r="H56" s="124"/>
      <c r="I56" s="124"/>
      <c r="J56" s="1"/>
      <c r="K56" s="122"/>
      <c r="L56" s="122"/>
      <c r="M56" s="122"/>
      <c r="N56" s="122"/>
      <c r="O56" s="122"/>
      <c r="P56" s="122"/>
      <c r="Q56" s="122"/>
      <c r="R56" s="122"/>
      <c r="S56" s="122"/>
      <c r="AG56"/>
    </row>
    <row r="57" spans="2:34" s="4" customFormat="1" ht="15" customHeight="1" x14ac:dyDescent="0.3">
      <c r="AG57"/>
    </row>
    <row r="58" spans="2:34" s="4" customFormat="1" ht="15" customHeight="1" x14ac:dyDescent="0.3"/>
    <row r="59" spans="2:34" s="4" customFormat="1" ht="15" customHeight="1" x14ac:dyDescent="0.3"/>
    <row r="60" spans="2:34" s="4" customFormat="1" ht="15" customHeight="1" x14ac:dyDescent="0.3"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</row>
    <row r="61" spans="2:34" s="4" customFormat="1" ht="15" customHeight="1" x14ac:dyDescent="0.3"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2:34" ht="15" customHeight="1" x14ac:dyDescent="0.35">
      <c r="B62" s="74"/>
      <c r="C62" s="74"/>
      <c r="D62" s="74"/>
      <c r="E62" s="74"/>
      <c r="F62" s="74"/>
      <c r="G62" s="74"/>
      <c r="H62" s="74"/>
      <c r="I62" s="4"/>
      <c r="J62" s="4"/>
      <c r="K62" s="4"/>
      <c r="AH62" s="4"/>
    </row>
  </sheetData>
  <printOptions horizontalCentered="1"/>
  <pageMargins left="0.118110236220472" right="0.118110236220472" top="0.118110236220472" bottom="0.118110236220472" header="0.118110236220472" footer="0.118110236220472"/>
  <pageSetup scale="80" orientation="landscape" r:id="rId1"/>
  <headerFooter scaleWithDoc="0" alignWithMargins="0">
    <oddFooter>&amp;L&amp;"Open Sans,Bold"&amp;10&amp;K002060Excel Data Visualization &amp;&amp; Dashboards&amp;C&amp;"Open Sans,Bold"&amp;10&amp;K002060Page &amp;P of &amp;N&amp;R&amp;G</oddFooter>
  </headerFooter>
  <drawing r:id="rId2"/>
  <legacyDrawing r:id="rId3"/>
  <legacyDrawingHF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ED0B8-039F-43B3-B271-92FA644F3EBD}">
  <sheetPr>
    <pageSetUpPr autoPageBreaks="0"/>
  </sheetPr>
  <dimension ref="A1:N261"/>
  <sheetViews>
    <sheetView showGridLines="0" zoomScaleNormal="100" workbookViewId="0">
      <pane ySplit="1" topLeftCell="A2" activePane="bottomLeft" state="frozen"/>
      <selection pane="bottomLeft" activeCell="M23" sqref="M23"/>
    </sheetView>
  </sheetViews>
  <sheetFormatPr defaultColWidth="9.140625" defaultRowHeight="15" customHeight="1" x14ac:dyDescent="0.3"/>
  <cols>
    <col min="1" max="1" width="9.140625" style="98"/>
    <col min="2" max="2" width="12.7109375" style="98" customWidth="1"/>
    <col min="3" max="4" width="9.140625" style="98"/>
    <col min="5" max="6" width="9.42578125" style="98" customWidth="1"/>
    <col min="7" max="7" width="4.7109375" style="98" customWidth="1"/>
    <col min="8" max="12" width="11.7109375" style="98" customWidth="1"/>
    <col min="13" max="16384" width="9.140625" style="98"/>
  </cols>
  <sheetData>
    <row r="1" spans="1:14" s="1" customFormat="1" ht="50.1" customHeight="1" x14ac:dyDescent="0.3">
      <c r="A1" s="4"/>
      <c r="B1" s="15"/>
      <c r="C1" s="15"/>
      <c r="D1" s="15"/>
      <c r="E1" s="16"/>
      <c r="F1" s="15"/>
      <c r="G1" s="15"/>
      <c r="H1" s="17"/>
      <c r="I1" s="17"/>
      <c r="J1" s="17"/>
      <c r="K1" s="17"/>
      <c r="L1" s="17"/>
      <c r="M1" s="4"/>
      <c r="N1" s="4"/>
    </row>
    <row r="3" spans="1:14" s="18" customFormat="1" ht="15" customHeight="1" x14ac:dyDescent="0.3">
      <c r="B3" s="8" t="s">
        <v>56</v>
      </c>
      <c r="C3" s="10"/>
      <c r="D3" s="11"/>
      <c r="E3" s="12"/>
      <c r="F3" s="12"/>
      <c r="G3" s="12"/>
      <c r="H3" s="12"/>
      <c r="I3" s="12"/>
      <c r="J3" s="12"/>
      <c r="K3" s="12"/>
      <c r="L3" s="12"/>
      <c r="M3" s="27"/>
      <c r="N3" s="27"/>
    </row>
    <row r="4" spans="1:14" s="18" customFormat="1" ht="15" customHeight="1" x14ac:dyDescent="0.3">
      <c r="B4" s="24"/>
      <c r="C4" s="25"/>
      <c r="D4" s="26"/>
      <c r="E4" s="27"/>
      <c r="F4" s="27"/>
      <c r="G4" s="27"/>
      <c r="H4" s="27"/>
      <c r="I4" s="27"/>
      <c r="J4" s="27"/>
      <c r="K4" s="27"/>
      <c r="L4" s="27"/>
      <c r="M4" s="1"/>
      <c r="N4" s="1"/>
    </row>
    <row r="5" spans="1:14" ht="15" customHeight="1" x14ac:dyDescent="0.3">
      <c r="L5" s="29" t="s">
        <v>55</v>
      </c>
    </row>
    <row r="8" spans="1:14" ht="15" customHeight="1" x14ac:dyDescent="0.35">
      <c r="B8" s="117" t="s">
        <v>54</v>
      </c>
      <c r="C8" s="116" t="s">
        <v>79</v>
      </c>
      <c r="D8" s="101"/>
      <c r="E8" s="102" t="s">
        <v>53</v>
      </c>
      <c r="F8" s="88"/>
      <c r="G8" s="88"/>
      <c r="H8" s="88"/>
      <c r="I8" s="88"/>
      <c r="J8" s="88"/>
      <c r="K8" s="88"/>
      <c r="L8" s="88"/>
    </row>
    <row r="9" spans="1:14" ht="15" customHeight="1" x14ac:dyDescent="0.35">
      <c r="B9" s="119">
        <v>36604</v>
      </c>
      <c r="C9" s="118">
        <v>1880.93</v>
      </c>
      <c r="D9" s="101"/>
      <c r="E9" s="74"/>
      <c r="F9" s="74"/>
      <c r="G9" s="74"/>
      <c r="H9" s="74"/>
      <c r="I9" s="74"/>
      <c r="J9" s="84"/>
      <c r="K9" s="74"/>
      <c r="L9" s="74"/>
    </row>
    <row r="10" spans="1:14" ht="15" customHeight="1" x14ac:dyDescent="0.3">
      <c r="B10" s="119">
        <v>36605</v>
      </c>
      <c r="C10" s="118">
        <v>1846.09</v>
      </c>
      <c r="D10" s="101"/>
      <c r="E10" s="101"/>
      <c r="F10" s="101"/>
      <c r="G10" s="145"/>
      <c r="H10" s="145"/>
      <c r="I10" s="145"/>
      <c r="J10" s="145"/>
      <c r="K10" s="145"/>
      <c r="L10" s="145"/>
    </row>
    <row r="11" spans="1:14" ht="15" customHeight="1" x14ac:dyDescent="0.3">
      <c r="B11" s="119">
        <v>36608</v>
      </c>
      <c r="C11" s="118">
        <v>1902.83</v>
      </c>
      <c r="D11" s="101"/>
      <c r="E11" s="101"/>
      <c r="F11" s="101"/>
      <c r="G11" s="145"/>
      <c r="H11" s="145"/>
      <c r="I11" s="145"/>
      <c r="J11" s="145"/>
      <c r="K11" s="145"/>
      <c r="L11" s="145"/>
    </row>
    <row r="12" spans="1:14" ht="15" customHeight="1" x14ac:dyDescent="0.3">
      <c r="B12" s="119">
        <v>36609</v>
      </c>
      <c r="C12" s="118">
        <v>1940.1</v>
      </c>
      <c r="D12" s="101"/>
      <c r="E12" s="101"/>
      <c r="F12" s="101"/>
      <c r="G12" s="145"/>
      <c r="H12" s="145"/>
      <c r="I12" s="145"/>
      <c r="J12" s="145"/>
      <c r="K12" s="145"/>
      <c r="L12" s="145"/>
    </row>
    <row r="13" spans="1:14" ht="15" customHeight="1" x14ac:dyDescent="0.3">
      <c r="B13" s="119">
        <v>36610</v>
      </c>
      <c r="C13" s="118">
        <v>1885.84</v>
      </c>
      <c r="D13" s="101"/>
      <c r="E13" s="101"/>
      <c r="F13" s="101"/>
      <c r="G13" s="145"/>
      <c r="H13" s="145"/>
      <c r="I13" s="145"/>
      <c r="J13" s="145"/>
      <c r="K13" s="145"/>
      <c r="L13" s="145"/>
    </row>
    <row r="14" spans="1:14" ht="15" customHeight="1" x14ac:dyDescent="0.3">
      <c r="B14" s="119">
        <v>36611</v>
      </c>
      <c r="C14" s="118">
        <v>1955.49</v>
      </c>
      <c r="D14" s="101"/>
      <c r="E14" s="101"/>
      <c r="F14" s="101"/>
      <c r="G14" s="145"/>
      <c r="H14" s="145"/>
      <c r="I14" s="145"/>
      <c r="J14" s="145"/>
      <c r="K14" s="145"/>
      <c r="L14" s="145"/>
    </row>
    <row r="15" spans="1:14" ht="15" customHeight="1" x14ac:dyDescent="0.3">
      <c r="B15" s="119">
        <v>36612</v>
      </c>
      <c r="C15" s="118">
        <v>1900.1</v>
      </c>
      <c r="D15" s="101"/>
      <c r="E15" s="101"/>
      <c r="F15" s="101"/>
      <c r="G15" s="145"/>
      <c r="H15" s="145"/>
      <c r="I15" s="145"/>
      <c r="J15" s="145"/>
      <c r="K15" s="145"/>
      <c r="L15" s="145"/>
    </row>
    <row r="16" spans="1:14" ht="15" customHeight="1" x14ac:dyDescent="0.3">
      <c r="B16" s="119">
        <v>36615</v>
      </c>
      <c r="C16" s="118">
        <v>1963.95</v>
      </c>
      <c r="D16" s="101"/>
      <c r="E16" s="101"/>
      <c r="F16" s="101"/>
      <c r="G16" s="145"/>
      <c r="H16" s="145"/>
      <c r="I16" s="145"/>
      <c r="J16" s="145"/>
      <c r="K16" s="145"/>
      <c r="L16" s="145"/>
    </row>
    <row r="17" spans="2:12" ht="15" customHeight="1" x14ac:dyDescent="0.3">
      <c r="B17" s="119">
        <v>36616</v>
      </c>
      <c r="C17" s="118">
        <v>1949.72</v>
      </c>
      <c r="D17" s="101"/>
      <c r="E17" s="101"/>
      <c r="F17" s="101"/>
      <c r="G17" s="145"/>
      <c r="H17" s="145"/>
      <c r="I17" s="145"/>
      <c r="J17" s="145"/>
      <c r="K17" s="145"/>
      <c r="L17" s="145"/>
    </row>
    <row r="18" spans="2:12" ht="15" customHeight="1" x14ac:dyDescent="0.3">
      <c r="B18" s="119">
        <v>36617</v>
      </c>
      <c r="C18" s="118">
        <v>1907.7</v>
      </c>
      <c r="D18" s="101"/>
      <c r="E18" s="101"/>
      <c r="F18" s="101"/>
      <c r="G18" s="145"/>
      <c r="H18" s="145"/>
      <c r="I18" s="145"/>
      <c r="J18" s="145"/>
      <c r="K18" s="145"/>
      <c r="L18" s="145"/>
    </row>
    <row r="19" spans="2:12" ht="15" customHeight="1" x14ac:dyDescent="0.3">
      <c r="B19" s="119">
        <v>36618</v>
      </c>
      <c r="C19" s="118">
        <v>1918.83</v>
      </c>
      <c r="D19" s="101"/>
      <c r="E19" s="101"/>
      <c r="F19" s="101"/>
      <c r="G19" s="145"/>
      <c r="H19" s="145"/>
      <c r="I19" s="145"/>
      <c r="J19" s="145"/>
      <c r="K19" s="145"/>
      <c r="L19" s="145"/>
    </row>
    <row r="20" spans="2:12" ht="15" customHeight="1" x14ac:dyDescent="0.3">
      <c r="B20" s="119">
        <v>36619</v>
      </c>
      <c r="C20" s="118">
        <v>1906.59</v>
      </c>
      <c r="D20" s="101"/>
      <c r="E20" s="101"/>
      <c r="F20" s="101"/>
      <c r="G20" s="145"/>
      <c r="H20" s="145"/>
      <c r="I20" s="145"/>
      <c r="J20" s="145"/>
      <c r="K20" s="145"/>
      <c r="L20" s="145"/>
    </row>
    <row r="21" spans="2:12" ht="15" customHeight="1" x14ac:dyDescent="0.3">
      <c r="B21" s="119">
        <v>36622</v>
      </c>
      <c r="C21" s="118">
        <v>1997.59</v>
      </c>
      <c r="D21" s="101"/>
      <c r="E21" s="101"/>
      <c r="F21" s="101"/>
      <c r="G21" s="145"/>
      <c r="H21" s="145"/>
      <c r="I21" s="145"/>
      <c r="J21" s="145"/>
      <c r="K21" s="145"/>
      <c r="L21" s="145"/>
    </row>
    <row r="22" spans="2:12" ht="15" customHeight="1" x14ac:dyDescent="0.3">
      <c r="B22" s="119">
        <v>36623</v>
      </c>
      <c r="C22" s="118">
        <v>2011.6</v>
      </c>
      <c r="D22" s="101"/>
      <c r="E22" s="101"/>
      <c r="F22" s="101"/>
      <c r="G22" s="145"/>
      <c r="H22" s="145"/>
      <c r="I22" s="145"/>
      <c r="J22" s="145"/>
      <c r="K22" s="145"/>
      <c r="L22" s="145"/>
    </row>
    <row r="23" spans="2:12" ht="15" customHeight="1" x14ac:dyDescent="0.3">
      <c r="B23" s="119">
        <v>36624</v>
      </c>
      <c r="C23" s="118">
        <v>2043</v>
      </c>
      <c r="D23" s="101"/>
      <c r="E23" s="101"/>
      <c r="F23" s="101"/>
      <c r="G23" s="145"/>
      <c r="H23" s="145"/>
      <c r="I23" s="145"/>
      <c r="J23" s="145"/>
      <c r="K23" s="145"/>
      <c r="L23" s="145"/>
    </row>
    <row r="24" spans="2:12" ht="15" customHeight="1" x14ac:dyDescent="0.3">
      <c r="B24" s="119">
        <v>36625</v>
      </c>
      <c r="C24" s="118">
        <v>2042.76</v>
      </c>
      <c r="D24" s="101"/>
      <c r="E24" s="101"/>
      <c r="F24" s="101"/>
      <c r="G24" s="145"/>
      <c r="H24" s="145"/>
      <c r="I24" s="145"/>
      <c r="J24" s="145"/>
      <c r="K24" s="145"/>
      <c r="L24" s="145"/>
    </row>
    <row r="25" spans="2:12" ht="15" customHeight="1" x14ac:dyDescent="0.3">
      <c r="B25" s="119">
        <v>36629</v>
      </c>
      <c r="C25" s="118">
        <v>2168.87</v>
      </c>
      <c r="D25" s="101"/>
      <c r="E25" s="101"/>
      <c r="F25" s="101"/>
      <c r="G25" s="145"/>
      <c r="H25" s="145"/>
      <c r="I25" s="145"/>
      <c r="J25" s="145"/>
      <c r="K25" s="145"/>
      <c r="L25" s="145"/>
    </row>
    <row r="26" spans="2:12" ht="15" customHeight="1" x14ac:dyDescent="0.3">
      <c r="B26" s="119">
        <v>36630</v>
      </c>
      <c r="C26" s="118">
        <v>2283.3200000000002</v>
      </c>
      <c r="D26" s="101"/>
      <c r="E26" s="101"/>
      <c r="F26" s="101"/>
    </row>
    <row r="27" spans="2:12" ht="15" customHeight="1" x14ac:dyDescent="0.3">
      <c r="B27" s="119">
        <v>36631</v>
      </c>
      <c r="C27" s="118">
        <v>2307.6799999999998</v>
      </c>
      <c r="D27" s="101"/>
      <c r="E27" s="101"/>
      <c r="F27" s="101"/>
    </row>
    <row r="28" spans="2:12" ht="15" customHeight="1" x14ac:dyDescent="0.3">
      <c r="B28" s="119">
        <v>36632</v>
      </c>
      <c r="C28" s="118">
        <v>2408.19</v>
      </c>
      <c r="D28" s="101"/>
    </row>
    <row r="29" spans="2:12" ht="15" customHeight="1" x14ac:dyDescent="0.3">
      <c r="B29" s="119">
        <v>36633</v>
      </c>
      <c r="C29" s="118">
        <v>2375</v>
      </c>
    </row>
    <row r="30" spans="2:12" ht="15" customHeight="1" x14ac:dyDescent="0.3">
      <c r="B30" s="119">
        <v>36636</v>
      </c>
      <c r="C30" s="118">
        <v>2393.61</v>
      </c>
    </row>
    <row r="31" spans="2:12" ht="15" customHeight="1" x14ac:dyDescent="0.3">
      <c r="B31" s="119">
        <v>36637</v>
      </c>
      <c r="C31" s="118">
        <v>2328.12</v>
      </c>
    </row>
    <row r="32" spans="2:12" ht="15" customHeight="1" x14ac:dyDescent="0.3">
      <c r="B32" s="119">
        <v>36638</v>
      </c>
      <c r="C32" s="118">
        <v>2363.4899999999998</v>
      </c>
    </row>
    <row r="33" spans="2:13" ht="15" customHeight="1" x14ac:dyDescent="0.3">
      <c r="B33" s="119">
        <v>36639</v>
      </c>
      <c r="C33" s="118">
        <v>2399.4499999999998</v>
      </c>
    </row>
    <row r="34" spans="2:13" ht="15" customHeight="1" x14ac:dyDescent="0.3">
      <c r="B34" s="119">
        <v>36640</v>
      </c>
      <c r="C34" s="118">
        <v>2410.2199999999998</v>
      </c>
    </row>
    <row r="35" spans="2:13" ht="15" customHeight="1" x14ac:dyDescent="0.3">
      <c r="B35" s="119">
        <v>36643</v>
      </c>
      <c r="C35" s="118">
        <v>2376</v>
      </c>
    </row>
    <row r="36" spans="2:13" ht="15" customHeight="1" x14ac:dyDescent="0.3">
      <c r="B36" s="119">
        <v>36644</v>
      </c>
      <c r="C36" s="118">
        <v>2314.08</v>
      </c>
    </row>
    <row r="37" spans="2:13" ht="15" customHeight="1" x14ac:dyDescent="0.3">
      <c r="B37" s="119">
        <v>36645</v>
      </c>
      <c r="C37" s="118">
        <v>2372.71</v>
      </c>
    </row>
    <row r="38" spans="2:13" ht="15" customHeight="1" x14ac:dyDescent="0.3">
      <c r="B38" s="119">
        <v>36646</v>
      </c>
      <c r="C38" s="118">
        <v>2474</v>
      </c>
    </row>
    <row r="39" spans="2:13" ht="15" customHeight="1" x14ac:dyDescent="0.3">
      <c r="B39" s="119">
        <v>36647</v>
      </c>
      <c r="C39" s="118">
        <v>2286.04</v>
      </c>
    </row>
    <row r="40" spans="2:13" ht="15" customHeight="1" x14ac:dyDescent="0.3">
      <c r="B40" s="119">
        <v>36650</v>
      </c>
      <c r="C40" s="118">
        <v>2315.9899999999998</v>
      </c>
    </row>
    <row r="41" spans="2:13" ht="15" customHeight="1" x14ac:dyDescent="0.3">
      <c r="B41" s="119">
        <v>36651</v>
      </c>
      <c r="C41" s="118">
        <v>2317.8000000000002</v>
      </c>
    </row>
    <row r="42" spans="2:13" ht="15" customHeight="1" x14ac:dyDescent="0.3">
      <c r="B42" s="119">
        <v>36652</v>
      </c>
      <c r="C42" s="118">
        <v>2351.2600000000002</v>
      </c>
    </row>
    <row r="43" spans="2:13" ht="15" customHeight="1" x14ac:dyDescent="0.3">
      <c r="B43" s="119">
        <v>36653</v>
      </c>
      <c r="C43" s="118">
        <v>2367.61</v>
      </c>
    </row>
    <row r="44" spans="2:13" ht="15" customHeight="1" x14ac:dyDescent="0.3">
      <c r="B44" s="119">
        <v>36654</v>
      </c>
      <c r="C44" s="118">
        <v>2379.61</v>
      </c>
    </row>
    <row r="45" spans="2:13" ht="15" customHeight="1" x14ac:dyDescent="0.3">
      <c r="B45" s="119">
        <v>36657</v>
      </c>
      <c r="C45" s="118">
        <v>2409</v>
      </c>
    </row>
    <row r="46" spans="2:13" ht="15" customHeight="1" x14ac:dyDescent="0.3">
      <c r="B46" s="119">
        <v>36658</v>
      </c>
      <c r="C46" s="118">
        <v>2356.9499999999998</v>
      </c>
    </row>
    <row r="47" spans="2:13" ht="15" customHeight="1" x14ac:dyDescent="0.3">
      <c r="B47" s="119">
        <v>36659</v>
      </c>
      <c r="C47" s="118">
        <v>2367.92</v>
      </c>
      <c r="M47" s="18"/>
    </row>
    <row r="48" spans="2:13" ht="15" customHeight="1" x14ac:dyDescent="0.3">
      <c r="B48" s="119">
        <v>36660</v>
      </c>
      <c r="C48" s="118">
        <v>2388.85</v>
      </c>
      <c r="M48" s="18"/>
    </row>
    <row r="49" spans="2:4" ht="15" customHeight="1" x14ac:dyDescent="0.3">
      <c r="B49" s="119">
        <v>36661</v>
      </c>
      <c r="C49" s="118">
        <v>2409.7800000000002</v>
      </c>
    </row>
    <row r="50" spans="2:4" ht="15" customHeight="1" x14ac:dyDescent="0.3">
      <c r="B50" s="119">
        <v>36664</v>
      </c>
      <c r="C50" s="118">
        <v>2426.2600000000002</v>
      </c>
      <c r="D50" s="101"/>
    </row>
    <row r="51" spans="2:4" ht="15" customHeight="1" x14ac:dyDescent="0.3">
      <c r="B51" s="119">
        <v>36665</v>
      </c>
      <c r="C51" s="118">
        <v>2449.33</v>
      </c>
      <c r="D51" s="101"/>
    </row>
    <row r="52" spans="2:4" ht="15" customHeight="1" x14ac:dyDescent="0.3">
      <c r="B52" s="119">
        <v>36666</v>
      </c>
      <c r="C52" s="118">
        <v>2497.94</v>
      </c>
      <c r="D52" s="101"/>
    </row>
    <row r="53" spans="2:4" ht="15" customHeight="1" x14ac:dyDescent="0.3">
      <c r="B53" s="119">
        <v>36667</v>
      </c>
      <c r="C53" s="118">
        <v>2446.7399999999998</v>
      </c>
      <c r="D53" s="101"/>
    </row>
    <row r="54" spans="2:4" ht="15" customHeight="1" x14ac:dyDescent="0.3">
      <c r="B54" s="119">
        <v>36668</v>
      </c>
      <c r="C54" s="118">
        <v>2436.88</v>
      </c>
      <c r="D54" s="101"/>
    </row>
    <row r="55" spans="2:4" ht="15" customHeight="1" x14ac:dyDescent="0.3">
      <c r="B55" s="119">
        <v>36672</v>
      </c>
      <c r="C55" s="118">
        <v>2421.86</v>
      </c>
      <c r="D55" s="101"/>
    </row>
    <row r="56" spans="2:4" ht="15" customHeight="1" x14ac:dyDescent="0.3">
      <c r="B56" s="119">
        <v>36673</v>
      </c>
      <c r="C56" s="118">
        <v>2410.39</v>
      </c>
      <c r="D56" s="101"/>
    </row>
    <row r="57" spans="2:4" ht="15" customHeight="1" x14ac:dyDescent="0.3">
      <c r="B57" s="119">
        <v>36674</v>
      </c>
      <c r="C57" s="118">
        <v>2401.1</v>
      </c>
      <c r="D57" s="101"/>
    </row>
    <row r="58" spans="2:4" ht="15" customHeight="1" x14ac:dyDescent="0.3">
      <c r="B58" s="119">
        <v>36675</v>
      </c>
      <c r="C58" s="118">
        <v>2442.37</v>
      </c>
      <c r="D58" s="101"/>
    </row>
    <row r="59" spans="2:4" ht="15" customHeight="1" x14ac:dyDescent="0.3">
      <c r="B59" s="119">
        <v>36678</v>
      </c>
      <c r="C59" s="118">
        <v>2471.04</v>
      </c>
      <c r="D59" s="101"/>
    </row>
    <row r="60" spans="2:4" ht="15" customHeight="1" x14ac:dyDescent="0.3">
      <c r="B60" s="119">
        <v>36679</v>
      </c>
      <c r="C60" s="118">
        <v>2472.41</v>
      </c>
      <c r="D60" s="101"/>
    </row>
    <row r="61" spans="2:4" ht="15" customHeight="1" x14ac:dyDescent="0.3">
      <c r="B61" s="119">
        <v>36680</v>
      </c>
      <c r="C61" s="118">
        <v>2478.4</v>
      </c>
      <c r="D61" s="101"/>
    </row>
    <row r="62" spans="2:4" ht="15" customHeight="1" x14ac:dyDescent="0.3">
      <c r="B62" s="119">
        <v>36681</v>
      </c>
      <c r="C62" s="118">
        <v>2460.6</v>
      </c>
      <c r="D62" s="101"/>
    </row>
    <row r="63" spans="2:4" ht="15" customHeight="1" x14ac:dyDescent="0.3">
      <c r="B63" s="119">
        <v>36682</v>
      </c>
      <c r="C63" s="118">
        <v>2483</v>
      </c>
      <c r="D63" s="101"/>
    </row>
    <row r="64" spans="2:4" ht="15" customHeight="1" x14ac:dyDescent="0.3">
      <c r="B64" s="119">
        <v>36685</v>
      </c>
      <c r="C64" s="118">
        <v>2524.06</v>
      </c>
      <c r="D64" s="101"/>
    </row>
    <row r="65" spans="2:6" ht="15" customHeight="1" x14ac:dyDescent="0.3">
      <c r="B65" s="119">
        <v>36686</v>
      </c>
      <c r="C65" s="118">
        <v>2600.86</v>
      </c>
      <c r="D65" s="101"/>
    </row>
    <row r="66" spans="2:6" ht="15" customHeight="1" x14ac:dyDescent="0.3">
      <c r="B66" s="119">
        <v>36687</v>
      </c>
      <c r="C66" s="118">
        <v>2647.45</v>
      </c>
      <c r="D66" s="101"/>
    </row>
    <row r="67" spans="2:6" ht="15" customHeight="1" x14ac:dyDescent="0.3">
      <c r="B67" s="119">
        <v>36688</v>
      </c>
      <c r="C67" s="118">
        <v>2557.96</v>
      </c>
      <c r="D67" s="101"/>
      <c r="E67" s="101"/>
      <c r="F67" s="101"/>
    </row>
    <row r="68" spans="2:6" ht="15" customHeight="1" x14ac:dyDescent="0.3">
      <c r="B68" s="119">
        <v>36689</v>
      </c>
      <c r="C68" s="118">
        <v>2545.02</v>
      </c>
      <c r="D68" s="101"/>
      <c r="E68" s="101"/>
      <c r="F68" s="101"/>
    </row>
    <row r="69" spans="2:6" ht="15" customHeight="1" x14ac:dyDescent="0.3">
      <c r="B69" s="119">
        <v>36692</v>
      </c>
      <c r="C69" s="118">
        <v>2572.6799999999998</v>
      </c>
      <c r="D69" s="101"/>
      <c r="E69" s="101"/>
      <c r="F69" s="101"/>
    </row>
    <row r="70" spans="2:6" ht="15" customHeight="1" x14ac:dyDescent="0.3">
      <c r="B70" s="119">
        <v>36693</v>
      </c>
      <c r="C70" s="118">
        <v>2615.27</v>
      </c>
      <c r="D70" s="101"/>
      <c r="E70" s="101"/>
      <c r="F70" s="101"/>
    </row>
    <row r="71" spans="2:6" ht="15" customHeight="1" x14ac:dyDescent="0.3">
      <c r="B71" s="119">
        <v>36694</v>
      </c>
      <c r="C71" s="118">
        <v>2640.98</v>
      </c>
      <c r="D71" s="101"/>
      <c r="E71" s="101"/>
      <c r="F71" s="101"/>
    </row>
    <row r="72" spans="2:6" ht="15" customHeight="1" x14ac:dyDescent="0.3">
      <c r="B72" s="119">
        <v>36695</v>
      </c>
      <c r="C72" s="118">
        <v>2653.98</v>
      </c>
      <c r="D72" s="101"/>
      <c r="E72" s="101"/>
      <c r="F72" s="101"/>
    </row>
    <row r="73" spans="2:6" ht="15" customHeight="1" x14ac:dyDescent="0.3">
      <c r="B73" s="119">
        <v>36696</v>
      </c>
      <c r="C73" s="118">
        <v>2675.01</v>
      </c>
      <c r="D73" s="101"/>
      <c r="E73" s="101"/>
      <c r="F73" s="101"/>
    </row>
    <row r="74" spans="2:6" ht="15" customHeight="1" x14ac:dyDescent="0.3">
      <c r="B74" s="119">
        <v>36699</v>
      </c>
      <c r="C74" s="118">
        <v>2713.82</v>
      </c>
      <c r="D74" s="101"/>
      <c r="E74" s="101"/>
      <c r="F74" s="101"/>
    </row>
    <row r="75" spans="2:6" ht="15" customHeight="1" x14ac:dyDescent="0.3">
      <c r="B75" s="119">
        <v>36700</v>
      </c>
      <c r="C75" s="118">
        <v>2764.41</v>
      </c>
      <c r="D75" s="101"/>
      <c r="E75" s="101"/>
      <c r="F75" s="101"/>
    </row>
    <row r="76" spans="2:6" ht="15" customHeight="1" x14ac:dyDescent="0.3">
      <c r="B76" s="119">
        <v>36701</v>
      </c>
      <c r="C76" s="118">
        <v>2734.4</v>
      </c>
      <c r="D76" s="101"/>
      <c r="E76" s="101"/>
      <c r="F76" s="101"/>
    </row>
    <row r="77" spans="2:6" ht="15" customHeight="1" x14ac:dyDescent="0.3">
      <c r="B77" s="119">
        <v>36702</v>
      </c>
      <c r="C77" s="118">
        <v>2754.58</v>
      </c>
      <c r="D77" s="101"/>
      <c r="E77" s="101"/>
      <c r="F77" s="101"/>
    </row>
    <row r="78" spans="2:6" ht="15" customHeight="1" x14ac:dyDescent="0.3">
      <c r="B78" s="119">
        <v>36703</v>
      </c>
      <c r="C78" s="118">
        <v>2692.87</v>
      </c>
      <c r="D78" s="101"/>
      <c r="E78" s="101"/>
      <c r="F78" s="101"/>
    </row>
    <row r="79" spans="2:6" ht="15" customHeight="1" x14ac:dyDescent="0.3">
      <c r="B79" s="119">
        <v>36706</v>
      </c>
      <c r="C79" s="118">
        <v>2680.38</v>
      </c>
      <c r="D79" s="101"/>
      <c r="E79" s="101"/>
      <c r="F79" s="101"/>
    </row>
    <row r="80" spans="2:6" ht="15" customHeight="1" x14ac:dyDescent="0.3">
      <c r="B80" s="119">
        <v>36707</v>
      </c>
      <c r="C80" s="118">
        <v>2758.82</v>
      </c>
      <c r="D80" s="101"/>
      <c r="E80" s="101"/>
      <c r="F80" s="101"/>
    </row>
    <row r="81" spans="2:6" ht="15" customHeight="1" x14ac:dyDescent="0.3">
      <c r="B81" s="119">
        <v>36708</v>
      </c>
      <c r="C81" s="118">
        <v>2878.7</v>
      </c>
      <c r="D81" s="101"/>
      <c r="E81" s="101"/>
      <c r="F81" s="101"/>
    </row>
    <row r="82" spans="2:6" ht="15" customHeight="1" x14ac:dyDescent="0.3">
      <c r="B82" s="119">
        <v>36709</v>
      </c>
      <c r="C82" s="118">
        <v>2890.3</v>
      </c>
      <c r="D82" s="101"/>
      <c r="E82" s="101"/>
      <c r="F82" s="101"/>
    </row>
    <row r="83" spans="2:6" ht="15" customHeight="1" x14ac:dyDescent="0.3">
      <c r="B83" s="119">
        <v>36713</v>
      </c>
      <c r="C83" s="118">
        <v>3057.04</v>
      </c>
      <c r="D83" s="101"/>
      <c r="E83" s="101"/>
      <c r="F83" s="101"/>
    </row>
    <row r="84" spans="2:6" ht="15" customHeight="1" x14ac:dyDescent="0.3">
      <c r="B84" s="119">
        <v>36714</v>
      </c>
      <c r="C84" s="118">
        <v>3000.12</v>
      </c>
      <c r="D84" s="101"/>
      <c r="E84" s="101"/>
      <c r="F84" s="101"/>
    </row>
    <row r="85" spans="2:6" ht="15" customHeight="1" x14ac:dyDescent="0.3">
      <c r="B85" s="119">
        <v>36715</v>
      </c>
      <c r="C85" s="118">
        <v>3081.11</v>
      </c>
      <c r="D85" s="101"/>
      <c r="E85" s="101"/>
      <c r="F85" s="101"/>
    </row>
    <row r="86" spans="2:6" ht="15" customHeight="1" x14ac:dyDescent="0.3">
      <c r="B86" s="119">
        <v>36716</v>
      </c>
      <c r="C86" s="118">
        <v>3182.63</v>
      </c>
      <c r="D86" s="101"/>
      <c r="E86" s="101"/>
      <c r="F86" s="101"/>
    </row>
    <row r="87" spans="2:6" ht="15" customHeight="1" x14ac:dyDescent="0.3">
      <c r="B87" s="119">
        <v>36717</v>
      </c>
      <c r="C87" s="118">
        <v>3200</v>
      </c>
      <c r="D87" s="101"/>
      <c r="E87" s="101"/>
      <c r="F87" s="101"/>
    </row>
    <row r="88" spans="2:6" ht="15" customHeight="1" x14ac:dyDescent="0.3">
      <c r="B88" s="119">
        <v>36720</v>
      </c>
      <c r="C88" s="118">
        <v>3104</v>
      </c>
      <c r="D88" s="101"/>
      <c r="E88" s="101"/>
      <c r="F88" s="101"/>
    </row>
    <row r="89" spans="2:6" ht="15" customHeight="1" x14ac:dyDescent="0.3">
      <c r="B89" s="119">
        <v>36721</v>
      </c>
      <c r="C89" s="118">
        <v>3084</v>
      </c>
      <c r="D89" s="101"/>
      <c r="E89" s="101"/>
      <c r="F89" s="101"/>
    </row>
    <row r="90" spans="2:6" ht="15" customHeight="1" x14ac:dyDescent="0.3">
      <c r="B90" s="119">
        <v>36722</v>
      </c>
      <c r="C90" s="118">
        <v>3008.87</v>
      </c>
      <c r="D90" s="101"/>
      <c r="E90" s="101"/>
      <c r="F90" s="101"/>
    </row>
    <row r="91" spans="2:6" ht="15" customHeight="1" x14ac:dyDescent="0.3">
      <c r="B91" s="119">
        <v>36723</v>
      </c>
      <c r="C91" s="118">
        <v>2999.9</v>
      </c>
      <c r="D91" s="101"/>
      <c r="E91" s="101"/>
      <c r="F91" s="101"/>
    </row>
    <row r="92" spans="2:6" ht="15" customHeight="1" x14ac:dyDescent="0.3">
      <c r="B92" s="119">
        <v>36724</v>
      </c>
      <c r="C92" s="118">
        <v>2961.97</v>
      </c>
      <c r="D92" s="101"/>
      <c r="E92" s="101"/>
      <c r="F92" s="101"/>
    </row>
    <row r="93" spans="2:6" ht="15" customHeight="1" x14ac:dyDescent="0.3">
      <c r="B93" s="119">
        <v>36727</v>
      </c>
      <c r="C93" s="118">
        <v>3196.84</v>
      </c>
      <c r="D93" s="101"/>
      <c r="E93" s="101"/>
      <c r="F93" s="101"/>
    </row>
    <row r="94" spans="2:6" ht="15" customHeight="1" x14ac:dyDescent="0.3">
      <c r="B94" s="119">
        <v>36728</v>
      </c>
      <c r="C94" s="118">
        <v>3138.29</v>
      </c>
      <c r="D94" s="101"/>
      <c r="E94" s="101"/>
      <c r="F94" s="101"/>
    </row>
    <row r="95" spans="2:6" ht="15" customHeight="1" x14ac:dyDescent="0.3">
      <c r="B95" s="119">
        <v>36729</v>
      </c>
      <c r="C95" s="118">
        <v>3099.91</v>
      </c>
      <c r="D95" s="101"/>
      <c r="E95" s="101"/>
      <c r="F95" s="101"/>
    </row>
    <row r="96" spans="2:6" ht="15" customHeight="1" x14ac:dyDescent="0.3">
      <c r="B96" s="119">
        <v>36730</v>
      </c>
      <c r="C96" s="118">
        <v>2986.55</v>
      </c>
      <c r="D96" s="101"/>
      <c r="E96" s="101"/>
      <c r="F96" s="101"/>
    </row>
    <row r="97" spans="2:6" ht="15" customHeight="1" x14ac:dyDescent="0.3">
      <c r="B97" s="119">
        <v>36731</v>
      </c>
      <c r="C97" s="118">
        <v>3008.91</v>
      </c>
      <c r="D97" s="101"/>
      <c r="E97" s="101"/>
      <c r="F97" s="101"/>
    </row>
    <row r="98" spans="2:6" ht="15" customHeight="1" x14ac:dyDescent="0.3">
      <c r="B98" s="119">
        <v>36734</v>
      </c>
      <c r="C98" s="118">
        <v>3055.21</v>
      </c>
      <c r="D98" s="101"/>
      <c r="E98" s="101"/>
      <c r="F98" s="101"/>
    </row>
    <row r="99" spans="2:6" ht="15" customHeight="1" x14ac:dyDescent="0.3">
      <c r="B99" s="119">
        <v>36735</v>
      </c>
      <c r="C99" s="118">
        <v>3000.33</v>
      </c>
      <c r="D99" s="101"/>
      <c r="E99" s="101"/>
      <c r="F99" s="101"/>
    </row>
    <row r="100" spans="2:6" ht="15" customHeight="1" x14ac:dyDescent="0.3">
      <c r="B100" s="119">
        <v>36736</v>
      </c>
      <c r="C100" s="118">
        <v>3033.53</v>
      </c>
      <c r="D100" s="101"/>
      <c r="E100" s="101"/>
      <c r="F100" s="101"/>
    </row>
    <row r="101" spans="2:6" ht="15" customHeight="1" x14ac:dyDescent="0.3">
      <c r="B101" s="119">
        <v>36737</v>
      </c>
      <c r="C101" s="118">
        <v>3051.88</v>
      </c>
      <c r="D101" s="101"/>
      <c r="E101" s="101"/>
      <c r="F101" s="101"/>
    </row>
    <row r="102" spans="2:6" ht="15" customHeight="1" x14ac:dyDescent="0.3">
      <c r="B102" s="119">
        <v>36738</v>
      </c>
      <c r="C102" s="118">
        <v>3164.68</v>
      </c>
      <c r="D102" s="101"/>
      <c r="E102" s="101"/>
      <c r="F102" s="101"/>
    </row>
    <row r="103" spans="2:6" ht="15" customHeight="1" x14ac:dyDescent="0.3">
      <c r="B103" s="119">
        <v>36741</v>
      </c>
      <c r="C103" s="118">
        <v>3111.89</v>
      </c>
      <c r="D103" s="101"/>
      <c r="E103" s="101"/>
      <c r="F103" s="101"/>
    </row>
    <row r="104" spans="2:6" ht="15" customHeight="1" x14ac:dyDescent="0.3">
      <c r="B104" s="119">
        <v>36742</v>
      </c>
      <c r="C104" s="118">
        <v>3138.83</v>
      </c>
      <c r="D104" s="101"/>
      <c r="E104" s="101"/>
      <c r="F104" s="101"/>
    </row>
    <row r="105" spans="2:6" ht="15" customHeight="1" x14ac:dyDescent="0.3">
      <c r="B105" s="119">
        <v>36743</v>
      </c>
      <c r="C105" s="118">
        <v>3205.03</v>
      </c>
      <c r="D105" s="101"/>
      <c r="E105" s="101"/>
      <c r="F105" s="101"/>
    </row>
    <row r="106" spans="2:6" ht="15" customHeight="1" x14ac:dyDescent="0.3">
      <c r="B106" s="119">
        <v>36744</v>
      </c>
      <c r="C106" s="118">
        <v>3225</v>
      </c>
      <c r="D106" s="101"/>
      <c r="E106" s="101"/>
      <c r="F106" s="101"/>
    </row>
    <row r="107" spans="2:6" ht="15" customHeight="1" x14ac:dyDescent="0.3">
      <c r="B107" s="119">
        <v>36745</v>
      </c>
      <c r="C107" s="118">
        <v>3167.46</v>
      </c>
      <c r="D107" s="101"/>
      <c r="E107" s="101"/>
      <c r="F107" s="101"/>
    </row>
    <row r="108" spans="2:6" ht="15" customHeight="1" x14ac:dyDescent="0.3">
      <c r="B108" s="119">
        <v>36748</v>
      </c>
      <c r="C108" s="118">
        <v>3148.16</v>
      </c>
      <c r="D108" s="101"/>
      <c r="E108" s="101"/>
      <c r="F108" s="101"/>
    </row>
    <row r="109" spans="2:6" ht="15" customHeight="1" x14ac:dyDescent="0.3">
      <c r="B109" s="119">
        <v>36749</v>
      </c>
      <c r="C109" s="118">
        <v>3080.67</v>
      </c>
      <c r="D109" s="101"/>
      <c r="E109" s="101"/>
      <c r="F109" s="101"/>
    </row>
    <row r="110" spans="2:6" ht="15" customHeight="1" x14ac:dyDescent="0.3">
      <c r="B110" s="119">
        <v>36750</v>
      </c>
      <c r="C110" s="118">
        <v>3162.24</v>
      </c>
      <c r="D110" s="101"/>
      <c r="E110" s="101"/>
      <c r="F110" s="101"/>
    </row>
    <row r="111" spans="2:6" ht="15" customHeight="1" x14ac:dyDescent="0.3">
      <c r="B111" s="119">
        <v>36751</v>
      </c>
      <c r="C111" s="118">
        <v>3161.02</v>
      </c>
      <c r="D111" s="101"/>
      <c r="E111" s="101"/>
      <c r="F111" s="101"/>
    </row>
    <row r="112" spans="2:6" ht="15" customHeight="1" x14ac:dyDescent="0.3">
      <c r="B112" s="119">
        <v>36752</v>
      </c>
      <c r="C112" s="118">
        <v>3148.02</v>
      </c>
      <c r="D112" s="101"/>
      <c r="E112" s="101"/>
      <c r="F112" s="101"/>
    </row>
    <row r="113" spans="2:6" ht="15" customHeight="1" x14ac:dyDescent="0.3">
      <c r="B113" s="119">
        <v>36755</v>
      </c>
      <c r="C113" s="118">
        <v>3182.41</v>
      </c>
      <c r="D113" s="101"/>
      <c r="E113" s="101"/>
      <c r="F113" s="101"/>
    </row>
    <row r="114" spans="2:6" ht="15" customHeight="1" x14ac:dyDescent="0.3">
      <c r="B114" s="119">
        <v>36756</v>
      </c>
      <c r="C114" s="118">
        <v>3312.49</v>
      </c>
      <c r="D114" s="101"/>
      <c r="E114" s="101"/>
      <c r="F114" s="101"/>
    </row>
    <row r="115" spans="2:6" ht="15" customHeight="1" x14ac:dyDescent="0.3">
      <c r="B115" s="119">
        <v>36757</v>
      </c>
      <c r="C115" s="118">
        <v>3260.48</v>
      </c>
      <c r="D115" s="101"/>
      <c r="E115" s="101"/>
      <c r="F115" s="101"/>
    </row>
    <row r="116" spans="2:6" ht="15" customHeight="1" x14ac:dyDescent="0.3">
      <c r="B116" s="119">
        <v>36758</v>
      </c>
      <c r="C116" s="118">
        <v>3297.37</v>
      </c>
      <c r="D116" s="101"/>
      <c r="E116" s="101"/>
      <c r="F116" s="101"/>
    </row>
    <row r="117" spans="2:6" ht="15" customHeight="1" x14ac:dyDescent="0.3">
      <c r="B117" s="119">
        <v>36759</v>
      </c>
      <c r="C117" s="118">
        <v>3284.72</v>
      </c>
      <c r="D117" s="101"/>
      <c r="E117" s="101"/>
      <c r="F117" s="101"/>
    </row>
    <row r="118" spans="2:6" ht="15" customHeight="1" x14ac:dyDescent="0.3">
      <c r="B118" s="119">
        <v>36762</v>
      </c>
      <c r="C118" s="118">
        <v>3307.46</v>
      </c>
      <c r="D118" s="101"/>
      <c r="E118" s="101"/>
      <c r="F118" s="101"/>
    </row>
    <row r="119" spans="2:6" ht="15" customHeight="1" x14ac:dyDescent="0.3">
      <c r="B119" s="119">
        <v>36763</v>
      </c>
      <c r="C119" s="118">
        <v>3346.49</v>
      </c>
      <c r="D119" s="101"/>
      <c r="E119" s="101"/>
      <c r="F119" s="101"/>
    </row>
    <row r="120" spans="2:6" ht="15" customHeight="1" x14ac:dyDescent="0.3">
      <c r="B120" s="119">
        <v>36764</v>
      </c>
      <c r="C120" s="118">
        <v>3441.85</v>
      </c>
      <c r="D120" s="101"/>
      <c r="E120" s="101"/>
      <c r="F120" s="101"/>
    </row>
    <row r="121" spans="2:6" ht="15" customHeight="1" x14ac:dyDescent="0.3">
      <c r="B121" s="119">
        <v>36765</v>
      </c>
      <c r="C121" s="118">
        <v>3400</v>
      </c>
      <c r="D121" s="101"/>
      <c r="E121" s="101"/>
      <c r="F121" s="101"/>
    </row>
    <row r="122" spans="2:6" ht="15" customHeight="1" x14ac:dyDescent="0.3">
      <c r="B122" s="119">
        <v>36766</v>
      </c>
      <c r="C122" s="118">
        <v>3401.8</v>
      </c>
      <c r="D122" s="101"/>
      <c r="E122" s="101"/>
      <c r="F122" s="101"/>
    </row>
    <row r="123" spans="2:6" ht="15" customHeight="1" x14ac:dyDescent="0.3">
      <c r="B123" s="119">
        <v>36769</v>
      </c>
      <c r="C123" s="118">
        <v>3450.96</v>
      </c>
      <c r="D123" s="101"/>
      <c r="E123" s="101"/>
      <c r="F123" s="101"/>
    </row>
    <row r="124" spans="2:6" ht="15" customHeight="1" x14ac:dyDescent="0.3">
      <c r="B124" s="119">
        <v>36770</v>
      </c>
      <c r="C124" s="118">
        <v>3499.12</v>
      </c>
      <c r="D124" s="101"/>
      <c r="E124" s="101"/>
      <c r="F124" s="101"/>
    </row>
    <row r="125" spans="2:6" ht="15" customHeight="1" x14ac:dyDescent="0.3">
      <c r="B125" s="119">
        <v>36771</v>
      </c>
      <c r="C125" s="118">
        <v>3531.45</v>
      </c>
      <c r="D125" s="101"/>
      <c r="E125" s="101"/>
      <c r="F125" s="101"/>
    </row>
    <row r="126" spans="2:6" ht="15" customHeight="1" x14ac:dyDescent="0.3">
      <c r="B126" s="119">
        <v>36772</v>
      </c>
      <c r="C126" s="118">
        <v>3368</v>
      </c>
      <c r="D126" s="101"/>
      <c r="E126" s="101"/>
      <c r="F126" s="101"/>
    </row>
    <row r="127" spans="2:6" ht="15" customHeight="1" x14ac:dyDescent="0.3">
      <c r="B127" s="119">
        <v>36773</v>
      </c>
      <c r="C127" s="118">
        <v>3294.62</v>
      </c>
      <c r="D127" s="101"/>
      <c r="E127" s="101"/>
      <c r="F127" s="101"/>
    </row>
    <row r="128" spans="2:6" ht="15" customHeight="1" x14ac:dyDescent="0.3">
      <c r="B128" s="119">
        <v>36777</v>
      </c>
      <c r="C128" s="118">
        <v>3149.84</v>
      </c>
      <c r="D128" s="101"/>
      <c r="E128" s="101"/>
      <c r="F128" s="101"/>
    </row>
    <row r="129" spans="2:6" ht="15" customHeight="1" x14ac:dyDescent="0.3">
      <c r="B129" s="119">
        <v>36778</v>
      </c>
      <c r="C129" s="118">
        <v>3268.61</v>
      </c>
      <c r="D129" s="101"/>
      <c r="E129" s="101"/>
      <c r="F129" s="101"/>
    </row>
    <row r="130" spans="2:6" ht="15" customHeight="1" x14ac:dyDescent="0.3">
      <c r="B130" s="119">
        <v>36779</v>
      </c>
      <c r="C130" s="118">
        <v>3175.11</v>
      </c>
      <c r="D130" s="101"/>
      <c r="E130" s="101"/>
      <c r="F130" s="101"/>
    </row>
    <row r="131" spans="2:6" ht="15" customHeight="1" x14ac:dyDescent="0.3">
      <c r="B131" s="119">
        <v>36780</v>
      </c>
      <c r="C131" s="118">
        <v>3116.22</v>
      </c>
      <c r="D131" s="101"/>
      <c r="E131" s="101"/>
      <c r="F131" s="101"/>
    </row>
    <row r="132" spans="2:6" ht="15" customHeight="1" x14ac:dyDescent="0.3">
      <c r="B132" s="119">
        <v>36783</v>
      </c>
      <c r="C132" s="118">
        <v>3102.97</v>
      </c>
      <c r="D132" s="101"/>
      <c r="E132" s="101"/>
      <c r="F132" s="101"/>
    </row>
    <row r="133" spans="2:6" ht="15" customHeight="1" x14ac:dyDescent="0.3">
      <c r="B133" s="119">
        <v>36784</v>
      </c>
      <c r="C133" s="118">
        <v>3156.13</v>
      </c>
      <c r="D133" s="101"/>
      <c r="E133" s="101"/>
      <c r="F133" s="101"/>
    </row>
    <row r="134" spans="2:6" ht="15" customHeight="1" x14ac:dyDescent="0.3">
      <c r="B134" s="119">
        <v>36785</v>
      </c>
      <c r="C134" s="118">
        <v>3078.1</v>
      </c>
      <c r="D134" s="101"/>
      <c r="E134" s="101"/>
      <c r="F134" s="101"/>
    </row>
    <row r="135" spans="2:6" ht="15" customHeight="1" x14ac:dyDescent="0.3">
      <c r="B135" s="119">
        <v>36786</v>
      </c>
      <c r="C135" s="118">
        <v>3008.73</v>
      </c>
      <c r="D135" s="101"/>
      <c r="E135" s="101"/>
      <c r="F135" s="101"/>
    </row>
    <row r="136" spans="2:6" ht="15" customHeight="1" x14ac:dyDescent="0.3">
      <c r="B136" s="119">
        <v>36787</v>
      </c>
      <c r="C136" s="118">
        <v>2954.91</v>
      </c>
      <c r="D136" s="101"/>
      <c r="E136" s="101"/>
      <c r="F136" s="101"/>
    </row>
    <row r="137" spans="2:6" ht="15" customHeight="1" x14ac:dyDescent="0.3">
      <c r="B137" s="119">
        <v>36790</v>
      </c>
      <c r="C137" s="118">
        <v>2960.47</v>
      </c>
      <c r="D137" s="101"/>
      <c r="E137" s="101"/>
      <c r="F137" s="101"/>
    </row>
    <row r="138" spans="2:6" ht="15" customHeight="1" x14ac:dyDescent="0.3">
      <c r="B138" s="119">
        <v>36791</v>
      </c>
      <c r="C138" s="118">
        <v>3128.99</v>
      </c>
      <c r="D138" s="101"/>
      <c r="E138" s="101"/>
      <c r="F138" s="101"/>
    </row>
    <row r="139" spans="2:6" ht="15" customHeight="1" x14ac:dyDescent="0.3">
      <c r="B139" s="119">
        <v>36792</v>
      </c>
      <c r="C139" s="118">
        <v>2999.86</v>
      </c>
      <c r="D139" s="101"/>
      <c r="E139" s="101"/>
      <c r="F139" s="101"/>
    </row>
    <row r="140" spans="2:6" ht="15" customHeight="1" x14ac:dyDescent="0.3">
      <c r="B140" s="119">
        <v>36793</v>
      </c>
      <c r="C140" s="118">
        <v>3019.79</v>
      </c>
      <c r="D140" s="101"/>
      <c r="E140" s="101"/>
      <c r="F140" s="101"/>
    </row>
    <row r="141" spans="2:6" ht="15" customHeight="1" x14ac:dyDescent="0.3">
      <c r="B141" s="119">
        <v>36794</v>
      </c>
      <c r="C141" s="118">
        <v>3095.13</v>
      </c>
      <c r="D141" s="101"/>
      <c r="E141" s="101"/>
      <c r="F141" s="101"/>
    </row>
    <row r="142" spans="2:6" ht="15" customHeight="1" x14ac:dyDescent="0.3">
      <c r="B142" s="119">
        <v>36797</v>
      </c>
      <c r="C142" s="118">
        <v>3174.05</v>
      </c>
      <c r="D142" s="101"/>
      <c r="E142" s="101"/>
      <c r="F142" s="101"/>
    </row>
    <row r="143" spans="2:6" ht="15" customHeight="1" x14ac:dyDescent="0.3">
      <c r="B143" s="119">
        <v>36798</v>
      </c>
      <c r="C143" s="118">
        <v>3144.88</v>
      </c>
      <c r="D143" s="101"/>
      <c r="E143" s="101"/>
      <c r="F143" s="101"/>
    </row>
    <row r="144" spans="2:6" ht="15" customHeight="1" x14ac:dyDescent="0.3">
      <c r="B144" s="119">
        <v>36799</v>
      </c>
      <c r="C144" s="118">
        <v>3148.73</v>
      </c>
      <c r="D144" s="101"/>
      <c r="E144" s="101"/>
      <c r="F144" s="101"/>
    </row>
    <row r="145" spans="2:6" ht="15" customHeight="1" x14ac:dyDescent="0.3">
      <c r="B145" s="119">
        <v>36800</v>
      </c>
      <c r="C145" s="118">
        <v>3221.26</v>
      </c>
      <c r="D145" s="101"/>
      <c r="E145" s="101"/>
      <c r="F145" s="101"/>
    </row>
    <row r="146" spans="2:6" ht="15" customHeight="1" x14ac:dyDescent="0.3">
      <c r="B146" s="119">
        <v>36801</v>
      </c>
      <c r="C146" s="118">
        <v>3125</v>
      </c>
      <c r="D146" s="101"/>
      <c r="E146" s="101"/>
      <c r="F146" s="101"/>
    </row>
    <row r="147" spans="2:6" ht="15" customHeight="1" x14ac:dyDescent="0.3">
      <c r="B147" s="119">
        <v>36804</v>
      </c>
      <c r="C147" s="118">
        <v>3199.2</v>
      </c>
      <c r="D147" s="101"/>
      <c r="E147" s="101"/>
      <c r="F147" s="101"/>
    </row>
    <row r="148" spans="2:6" ht="15" customHeight="1" x14ac:dyDescent="0.3">
      <c r="B148" s="119">
        <v>36805</v>
      </c>
      <c r="C148" s="118">
        <v>3099.96</v>
      </c>
      <c r="D148" s="101"/>
      <c r="E148" s="101"/>
      <c r="F148" s="101"/>
    </row>
    <row r="149" spans="2:6" ht="15" customHeight="1" x14ac:dyDescent="0.3">
      <c r="B149" s="119">
        <v>36806</v>
      </c>
      <c r="C149" s="118">
        <v>3195.69</v>
      </c>
      <c r="D149" s="100"/>
      <c r="E149" s="100"/>
      <c r="F149" s="100"/>
    </row>
    <row r="150" spans="2:6" ht="15" customHeight="1" x14ac:dyDescent="0.3">
      <c r="B150" s="119">
        <v>36807</v>
      </c>
      <c r="C150" s="118">
        <v>3190.55</v>
      </c>
      <c r="D150" s="100"/>
      <c r="E150" s="100"/>
      <c r="F150" s="100"/>
    </row>
    <row r="151" spans="2:6" ht="15" customHeight="1" x14ac:dyDescent="0.3">
      <c r="B151" s="119">
        <v>36808</v>
      </c>
      <c r="C151" s="118">
        <v>3286.65</v>
      </c>
      <c r="D151" s="100"/>
      <c r="E151" s="100"/>
      <c r="F151" s="100"/>
    </row>
    <row r="152" spans="2:6" ht="15" customHeight="1" x14ac:dyDescent="0.3">
      <c r="B152" s="119">
        <v>36811</v>
      </c>
      <c r="C152" s="118">
        <v>3442.93</v>
      </c>
      <c r="D152" s="100"/>
      <c r="E152" s="100"/>
      <c r="F152" s="100"/>
    </row>
    <row r="153" spans="2:6" ht="15" customHeight="1" x14ac:dyDescent="0.3">
      <c r="B153" s="119">
        <v>36812</v>
      </c>
      <c r="C153" s="118">
        <v>3443.63</v>
      </c>
      <c r="D153" s="100"/>
      <c r="E153" s="100"/>
      <c r="F153" s="100"/>
    </row>
    <row r="154" spans="2:6" ht="15" customHeight="1" x14ac:dyDescent="0.3">
      <c r="B154" s="119">
        <v>36813</v>
      </c>
      <c r="C154" s="118">
        <v>3363.71</v>
      </c>
      <c r="D154" s="100"/>
      <c r="E154" s="100"/>
      <c r="F154" s="100"/>
    </row>
    <row r="155" spans="2:6" ht="15" customHeight="1" x14ac:dyDescent="0.3">
      <c r="B155" s="119">
        <v>36814</v>
      </c>
      <c r="C155" s="118">
        <v>3338.65</v>
      </c>
      <c r="D155" s="100"/>
      <c r="E155" s="100"/>
      <c r="F155" s="100"/>
    </row>
    <row r="156" spans="2:6" ht="15" customHeight="1" x14ac:dyDescent="0.3">
      <c r="B156" s="119">
        <v>36815</v>
      </c>
      <c r="C156" s="118">
        <v>3272.71</v>
      </c>
      <c r="D156" s="100"/>
      <c r="E156" s="100"/>
      <c r="F156" s="100"/>
    </row>
    <row r="157" spans="2:6" ht="15" customHeight="1" x14ac:dyDescent="0.3">
      <c r="B157" s="119">
        <v>36818</v>
      </c>
      <c r="C157" s="118">
        <v>3207.21</v>
      </c>
      <c r="D157" s="100"/>
      <c r="E157" s="100"/>
      <c r="F157" s="100"/>
    </row>
    <row r="158" spans="2:6" ht="15" customHeight="1" x14ac:dyDescent="0.3">
      <c r="B158" s="119">
        <v>36819</v>
      </c>
      <c r="C158" s="118">
        <v>3217.01</v>
      </c>
      <c r="D158" s="100"/>
      <c r="E158" s="100"/>
      <c r="F158" s="100"/>
    </row>
    <row r="159" spans="2:6" ht="15" customHeight="1" x14ac:dyDescent="0.3">
      <c r="B159" s="119">
        <v>36820</v>
      </c>
      <c r="C159" s="118">
        <v>3184.94</v>
      </c>
      <c r="D159" s="100"/>
      <c r="E159" s="100"/>
      <c r="F159" s="100"/>
    </row>
    <row r="160" spans="2:6" ht="15" customHeight="1" x14ac:dyDescent="0.3">
      <c r="B160" s="119">
        <v>36821</v>
      </c>
      <c r="C160" s="118">
        <v>3176.4</v>
      </c>
      <c r="D160" s="100"/>
      <c r="E160" s="100"/>
      <c r="F160" s="100"/>
    </row>
    <row r="161" spans="2:6" ht="15" customHeight="1" x14ac:dyDescent="0.3">
      <c r="B161" s="119">
        <v>36822</v>
      </c>
      <c r="C161" s="118">
        <v>3204.4</v>
      </c>
      <c r="D161" s="100"/>
      <c r="E161" s="100"/>
      <c r="F161" s="100"/>
    </row>
    <row r="162" spans="2:6" ht="15" customHeight="1" x14ac:dyDescent="0.3">
      <c r="B162" s="119">
        <v>36825</v>
      </c>
      <c r="C162" s="118">
        <v>3207.04</v>
      </c>
      <c r="D162" s="100"/>
      <c r="E162" s="100"/>
      <c r="F162" s="100"/>
    </row>
    <row r="163" spans="2:6" ht="15" customHeight="1" x14ac:dyDescent="0.3">
      <c r="B163" s="119">
        <v>36826</v>
      </c>
      <c r="C163" s="118">
        <v>3286.33</v>
      </c>
      <c r="D163" s="100"/>
      <c r="E163" s="100"/>
      <c r="F163" s="100"/>
    </row>
    <row r="164" spans="2:6" ht="15" customHeight="1" x14ac:dyDescent="0.3">
      <c r="B164" s="119">
        <v>36827</v>
      </c>
      <c r="C164" s="118">
        <v>3162.78</v>
      </c>
      <c r="D164" s="100"/>
      <c r="E164" s="100"/>
      <c r="F164" s="100"/>
    </row>
    <row r="165" spans="2:6" ht="15" customHeight="1" x14ac:dyDescent="0.3">
      <c r="B165" s="119">
        <v>36828</v>
      </c>
      <c r="C165" s="118">
        <v>3211.01</v>
      </c>
      <c r="D165" s="100"/>
      <c r="E165" s="100"/>
      <c r="F165" s="100"/>
    </row>
    <row r="166" spans="2:6" ht="15" customHeight="1" x14ac:dyDescent="0.3">
      <c r="B166" s="119">
        <v>36829</v>
      </c>
      <c r="C166" s="118">
        <v>3036.15</v>
      </c>
      <c r="D166" s="100"/>
      <c r="E166" s="100"/>
      <c r="F166" s="100"/>
    </row>
    <row r="167" spans="2:6" ht="15" customHeight="1" x14ac:dyDescent="0.3">
      <c r="B167" s="119">
        <v>36832</v>
      </c>
      <c r="C167" s="118">
        <v>3004.48</v>
      </c>
      <c r="D167" s="100"/>
      <c r="E167" s="100"/>
      <c r="F167" s="100"/>
    </row>
    <row r="168" spans="2:6" ht="15" customHeight="1" x14ac:dyDescent="0.3">
      <c r="B168" s="119">
        <v>36833</v>
      </c>
      <c r="C168" s="118">
        <v>3048.41</v>
      </c>
      <c r="D168" s="100"/>
      <c r="E168" s="100"/>
      <c r="F168" s="100"/>
    </row>
    <row r="169" spans="2:6" ht="15" customHeight="1" x14ac:dyDescent="0.3">
      <c r="B169" s="119">
        <v>36834</v>
      </c>
      <c r="C169" s="118">
        <v>3241.16</v>
      </c>
      <c r="D169" s="100"/>
      <c r="E169" s="100"/>
      <c r="F169" s="100"/>
    </row>
    <row r="170" spans="2:6" ht="15" customHeight="1" x14ac:dyDescent="0.3">
      <c r="B170" s="119">
        <v>36835</v>
      </c>
      <c r="C170" s="118">
        <v>3322</v>
      </c>
      <c r="D170" s="99"/>
      <c r="E170" s="99"/>
      <c r="F170" s="99"/>
    </row>
    <row r="171" spans="2:6" ht="15" customHeight="1" x14ac:dyDescent="0.3">
      <c r="B171" s="120">
        <v>36836</v>
      </c>
      <c r="C171" s="118">
        <v>3311.37</v>
      </c>
    </row>
    <row r="172" spans="2:6" ht="15" customHeight="1" x14ac:dyDescent="0.3">
      <c r="B172" s="120">
        <v>36839</v>
      </c>
      <c r="C172" s="118">
        <v>3143.74</v>
      </c>
    </row>
    <row r="173" spans="2:6" ht="15" customHeight="1" x14ac:dyDescent="0.3">
      <c r="B173" s="120">
        <v>36840</v>
      </c>
      <c r="C173" s="118">
        <v>3035.02</v>
      </c>
    </row>
    <row r="174" spans="2:6" ht="15" customHeight="1" x14ac:dyDescent="0.3">
      <c r="B174" s="120">
        <v>36841</v>
      </c>
      <c r="C174" s="118">
        <v>3137.39</v>
      </c>
    </row>
    <row r="175" spans="2:6" ht="15" customHeight="1" x14ac:dyDescent="0.3">
      <c r="B175" s="120">
        <v>36842</v>
      </c>
      <c r="C175" s="118">
        <v>3110.28</v>
      </c>
    </row>
    <row r="176" spans="2:6" ht="15" customHeight="1" x14ac:dyDescent="0.3">
      <c r="B176" s="120">
        <v>36843</v>
      </c>
      <c r="C176" s="118">
        <v>3128.81</v>
      </c>
    </row>
    <row r="177" spans="2:3" ht="15" customHeight="1" x14ac:dyDescent="0.3">
      <c r="B177" s="120">
        <v>36846</v>
      </c>
      <c r="C177" s="118">
        <v>3131.06</v>
      </c>
    </row>
    <row r="178" spans="2:3" ht="15" customHeight="1" x14ac:dyDescent="0.3">
      <c r="B178" s="120">
        <v>36847</v>
      </c>
      <c r="C178" s="118">
        <v>3135.66</v>
      </c>
    </row>
    <row r="179" spans="2:3" ht="15" customHeight="1" x14ac:dyDescent="0.3">
      <c r="B179" s="120">
        <v>36848</v>
      </c>
      <c r="C179" s="118">
        <v>3105.46</v>
      </c>
    </row>
    <row r="180" spans="2:3" ht="15" customHeight="1" x14ac:dyDescent="0.3">
      <c r="B180" s="120">
        <v>36849</v>
      </c>
      <c r="C180" s="118">
        <v>3117.02</v>
      </c>
    </row>
    <row r="181" spans="2:3" ht="15" customHeight="1" x14ac:dyDescent="0.3">
      <c r="B181" s="120">
        <v>36850</v>
      </c>
      <c r="C181" s="118">
        <v>3099.4</v>
      </c>
    </row>
    <row r="182" spans="2:3" ht="15" customHeight="1" x14ac:dyDescent="0.3">
      <c r="B182" s="120">
        <v>36853</v>
      </c>
      <c r="C182" s="118">
        <v>3098.39</v>
      </c>
    </row>
    <row r="183" spans="2:3" ht="15" customHeight="1" x14ac:dyDescent="0.3">
      <c r="B183" s="120">
        <v>36854</v>
      </c>
      <c r="C183" s="118">
        <v>3118.06</v>
      </c>
    </row>
    <row r="184" spans="2:3" ht="15" customHeight="1" x14ac:dyDescent="0.3">
      <c r="B184" s="120">
        <v>36855</v>
      </c>
      <c r="C184" s="118">
        <v>3185.07</v>
      </c>
    </row>
    <row r="185" spans="2:3" ht="15" customHeight="1" x14ac:dyDescent="0.3">
      <c r="B185" s="120">
        <v>36857</v>
      </c>
      <c r="C185" s="118">
        <v>3195.34</v>
      </c>
    </row>
    <row r="186" spans="2:3" ht="15" customHeight="1" x14ac:dyDescent="0.3">
      <c r="B186" s="120">
        <v>36860</v>
      </c>
      <c r="C186" s="118">
        <v>3168.04</v>
      </c>
    </row>
    <row r="187" spans="2:3" ht="15" customHeight="1" x14ac:dyDescent="0.3">
      <c r="B187" s="120">
        <v>36861</v>
      </c>
      <c r="C187" s="118">
        <v>3220.08</v>
      </c>
    </row>
    <row r="188" spans="2:3" ht="15" customHeight="1" x14ac:dyDescent="0.3">
      <c r="B188" s="120">
        <v>36862</v>
      </c>
      <c r="C188" s="118">
        <v>3203.53</v>
      </c>
    </row>
    <row r="189" spans="2:3" ht="15" customHeight="1" x14ac:dyDescent="0.3">
      <c r="B189" s="120">
        <v>36863</v>
      </c>
      <c r="C189" s="118">
        <v>3186.73</v>
      </c>
    </row>
    <row r="190" spans="2:3" ht="15" customHeight="1" x14ac:dyDescent="0.3">
      <c r="B190" s="120">
        <v>36864</v>
      </c>
      <c r="C190" s="118">
        <v>3162.58</v>
      </c>
    </row>
    <row r="191" spans="2:3" ht="15" customHeight="1" x14ac:dyDescent="0.3">
      <c r="B191" s="120">
        <v>36867</v>
      </c>
      <c r="C191" s="118">
        <v>3158</v>
      </c>
    </row>
    <row r="192" spans="2:3" ht="15" customHeight="1" x14ac:dyDescent="0.3">
      <c r="B192" s="120">
        <v>36868</v>
      </c>
      <c r="C192" s="118">
        <v>3177.29</v>
      </c>
    </row>
    <row r="193" spans="2:3" ht="15" customHeight="1" x14ac:dyDescent="0.3">
      <c r="B193" s="120">
        <v>36869</v>
      </c>
      <c r="C193" s="118">
        <v>3104.2</v>
      </c>
    </row>
    <row r="194" spans="2:3" ht="15" customHeight="1" x14ac:dyDescent="0.3">
      <c r="B194" s="120">
        <v>36870</v>
      </c>
      <c r="C194" s="118">
        <v>3101.49</v>
      </c>
    </row>
    <row r="195" spans="2:3" ht="15" customHeight="1" x14ac:dyDescent="0.3">
      <c r="B195" s="120">
        <v>36871</v>
      </c>
      <c r="C195" s="118">
        <v>3116.42</v>
      </c>
    </row>
    <row r="196" spans="2:3" ht="15" customHeight="1" x14ac:dyDescent="0.3">
      <c r="B196" s="120">
        <v>36874</v>
      </c>
      <c r="C196" s="118">
        <v>3156.97</v>
      </c>
    </row>
    <row r="197" spans="2:3" ht="15" customHeight="1" x14ac:dyDescent="0.3">
      <c r="B197" s="120">
        <v>36875</v>
      </c>
      <c r="C197" s="118">
        <v>3165.12</v>
      </c>
    </row>
    <row r="198" spans="2:3" ht="15" customHeight="1" x14ac:dyDescent="0.3">
      <c r="B198" s="120">
        <v>36876</v>
      </c>
      <c r="C198" s="118">
        <v>3240.96</v>
      </c>
    </row>
    <row r="199" spans="2:3" ht="15" customHeight="1" x14ac:dyDescent="0.3">
      <c r="B199" s="120">
        <v>36877</v>
      </c>
      <c r="C199" s="118">
        <v>3236.08</v>
      </c>
    </row>
    <row r="200" spans="2:3" ht="15" customHeight="1" x14ac:dyDescent="0.3">
      <c r="B200" s="120">
        <v>36878</v>
      </c>
      <c r="C200" s="118">
        <v>3201.65</v>
      </c>
    </row>
    <row r="201" spans="2:3" ht="15" customHeight="1" x14ac:dyDescent="0.3">
      <c r="B201" s="120">
        <v>36881</v>
      </c>
      <c r="C201" s="118">
        <v>3206.18</v>
      </c>
    </row>
    <row r="202" spans="2:3" ht="15" customHeight="1" x14ac:dyDescent="0.3">
      <c r="B202" s="120">
        <v>36882</v>
      </c>
      <c r="C202" s="118">
        <v>3206.52</v>
      </c>
    </row>
    <row r="203" spans="2:3" ht="15" customHeight="1" x14ac:dyDescent="0.3">
      <c r="B203" s="120">
        <v>36883</v>
      </c>
      <c r="C203" s="118">
        <v>3185.27</v>
      </c>
    </row>
    <row r="204" spans="2:3" ht="15" customHeight="1" x14ac:dyDescent="0.3">
      <c r="B204" s="120">
        <v>36884</v>
      </c>
      <c r="C204" s="118">
        <v>3172.69</v>
      </c>
    </row>
    <row r="205" spans="2:3" ht="15" customHeight="1" x14ac:dyDescent="0.3">
      <c r="B205" s="120">
        <v>36888</v>
      </c>
      <c r="C205" s="118">
        <v>3283.96</v>
      </c>
    </row>
    <row r="206" spans="2:3" ht="15" customHeight="1" x14ac:dyDescent="0.3">
      <c r="B206" s="120">
        <v>36889</v>
      </c>
      <c r="C206" s="118">
        <v>3322</v>
      </c>
    </row>
    <row r="207" spans="2:3" ht="15" customHeight="1" x14ac:dyDescent="0.3">
      <c r="B207" s="120">
        <v>36890</v>
      </c>
      <c r="C207" s="118">
        <v>3285.85</v>
      </c>
    </row>
    <row r="208" spans="2:3" ht="15" customHeight="1" x14ac:dyDescent="0.3">
      <c r="B208" s="120">
        <v>36891</v>
      </c>
      <c r="C208" s="118">
        <v>3256.93</v>
      </c>
    </row>
    <row r="209" spans="2:3" ht="15" customHeight="1" x14ac:dyDescent="0.3">
      <c r="B209" s="120">
        <v>36895</v>
      </c>
      <c r="C209" s="118">
        <v>3186.63</v>
      </c>
    </row>
    <row r="210" spans="2:3" ht="15" customHeight="1" x14ac:dyDescent="0.3">
      <c r="B210" s="120">
        <v>36896</v>
      </c>
      <c r="C210" s="118">
        <v>3218.51</v>
      </c>
    </row>
    <row r="211" spans="2:3" ht="15" customHeight="1" x14ac:dyDescent="0.3">
      <c r="B211" s="120">
        <v>36897</v>
      </c>
      <c r="C211" s="118">
        <v>3138.38</v>
      </c>
    </row>
    <row r="212" spans="2:3" ht="15" customHeight="1" x14ac:dyDescent="0.3">
      <c r="B212" s="120">
        <v>36898</v>
      </c>
      <c r="C212" s="118">
        <v>3162.16</v>
      </c>
    </row>
    <row r="213" spans="2:3" ht="15" customHeight="1" x14ac:dyDescent="0.3">
      <c r="B213" s="120">
        <v>36899</v>
      </c>
      <c r="C213" s="118">
        <v>3182.7</v>
      </c>
    </row>
    <row r="214" spans="2:3" ht="15" customHeight="1" x14ac:dyDescent="0.3">
      <c r="B214" s="120">
        <v>36902</v>
      </c>
      <c r="C214" s="118">
        <v>3114.21</v>
      </c>
    </row>
    <row r="215" spans="2:3" ht="15" customHeight="1" x14ac:dyDescent="0.3">
      <c r="B215" s="120">
        <v>36903</v>
      </c>
      <c r="C215" s="118">
        <v>3120.83</v>
      </c>
    </row>
    <row r="216" spans="2:3" ht="15" customHeight="1" x14ac:dyDescent="0.3">
      <c r="B216" s="120">
        <v>36904</v>
      </c>
      <c r="C216" s="118">
        <v>3165.89</v>
      </c>
    </row>
    <row r="217" spans="2:3" ht="15" customHeight="1" x14ac:dyDescent="0.3">
      <c r="B217" s="120">
        <v>36905</v>
      </c>
      <c r="C217" s="118">
        <v>3127.47</v>
      </c>
    </row>
    <row r="218" spans="2:3" ht="15" customHeight="1" x14ac:dyDescent="0.3">
      <c r="B218" s="120">
        <v>36906</v>
      </c>
      <c r="C218" s="118">
        <v>3104.25</v>
      </c>
    </row>
    <row r="219" spans="2:3" ht="15" customHeight="1" x14ac:dyDescent="0.3">
      <c r="B219" s="120">
        <v>36910</v>
      </c>
      <c r="C219" s="118">
        <v>3120.76</v>
      </c>
    </row>
    <row r="220" spans="2:3" ht="15" customHeight="1" x14ac:dyDescent="0.3">
      <c r="B220" s="120">
        <v>36911</v>
      </c>
      <c r="C220" s="118">
        <v>3263.38</v>
      </c>
    </row>
    <row r="221" spans="2:3" ht="15" customHeight="1" x14ac:dyDescent="0.3">
      <c r="B221" s="120">
        <v>36912</v>
      </c>
      <c r="C221" s="118">
        <v>3306.99</v>
      </c>
    </row>
    <row r="222" spans="2:3" ht="15" customHeight="1" x14ac:dyDescent="0.3">
      <c r="B222" s="120">
        <v>36913</v>
      </c>
      <c r="C222" s="118">
        <v>3292.23</v>
      </c>
    </row>
    <row r="223" spans="2:3" ht="15" customHeight="1" x14ac:dyDescent="0.3">
      <c r="B223" s="120">
        <v>36916</v>
      </c>
      <c r="C223" s="118">
        <v>3294</v>
      </c>
    </row>
    <row r="224" spans="2:3" ht="15" customHeight="1" x14ac:dyDescent="0.3">
      <c r="B224" s="120">
        <v>36917</v>
      </c>
      <c r="C224" s="118">
        <v>3326.13</v>
      </c>
    </row>
    <row r="225" spans="2:3" ht="15" customHeight="1" x14ac:dyDescent="0.3">
      <c r="B225" s="120">
        <v>36918</v>
      </c>
      <c r="C225" s="118">
        <v>3232.58</v>
      </c>
    </row>
    <row r="226" spans="2:3" ht="15" customHeight="1" x14ac:dyDescent="0.3">
      <c r="B226" s="120">
        <v>36919</v>
      </c>
      <c r="C226" s="118">
        <v>3237.62</v>
      </c>
    </row>
    <row r="227" spans="2:3" ht="15" customHeight="1" x14ac:dyDescent="0.3">
      <c r="B227" s="120">
        <v>36920</v>
      </c>
      <c r="C227" s="118">
        <v>3206.2</v>
      </c>
    </row>
    <row r="228" spans="2:3" ht="15" customHeight="1" x14ac:dyDescent="0.3">
      <c r="B228" s="120">
        <v>36923</v>
      </c>
      <c r="C228" s="118">
        <v>3342.88</v>
      </c>
    </row>
    <row r="229" spans="2:3" ht="15" customHeight="1" x14ac:dyDescent="0.3">
      <c r="B229" s="120">
        <v>36924</v>
      </c>
      <c r="C229" s="118">
        <v>3380</v>
      </c>
    </row>
    <row r="230" spans="2:3" ht="15" customHeight="1" x14ac:dyDescent="0.3">
      <c r="B230" s="120">
        <v>36925</v>
      </c>
      <c r="C230" s="118">
        <v>3312.53</v>
      </c>
    </row>
    <row r="231" spans="2:3" ht="15" customHeight="1" x14ac:dyDescent="0.3">
      <c r="B231" s="120">
        <v>36926</v>
      </c>
      <c r="C231" s="118">
        <v>3331</v>
      </c>
    </row>
    <row r="232" spans="2:3" ht="15" customHeight="1" x14ac:dyDescent="0.3">
      <c r="B232" s="120">
        <v>36927</v>
      </c>
      <c r="C232" s="118">
        <v>3352.15</v>
      </c>
    </row>
    <row r="233" spans="2:3" ht="15" customHeight="1" x14ac:dyDescent="0.3">
      <c r="B233" s="120">
        <v>36930</v>
      </c>
      <c r="C233" s="118">
        <v>3322.94</v>
      </c>
    </row>
    <row r="234" spans="2:3" ht="15" customHeight="1" x14ac:dyDescent="0.3">
      <c r="B234" s="120">
        <v>36931</v>
      </c>
      <c r="C234" s="118">
        <v>3305</v>
      </c>
    </row>
    <row r="235" spans="2:3" ht="15" customHeight="1" x14ac:dyDescent="0.3">
      <c r="B235" s="120">
        <v>36932</v>
      </c>
      <c r="C235" s="118">
        <v>3286.58</v>
      </c>
    </row>
    <row r="236" spans="2:3" ht="15" customHeight="1" x14ac:dyDescent="0.3">
      <c r="B236" s="120">
        <v>36933</v>
      </c>
      <c r="C236" s="118">
        <v>3262.13</v>
      </c>
    </row>
    <row r="237" spans="2:3" ht="15" customHeight="1" x14ac:dyDescent="0.3">
      <c r="B237" s="120">
        <v>36934</v>
      </c>
      <c r="C237" s="118">
        <v>3277.71</v>
      </c>
    </row>
    <row r="238" spans="2:3" ht="15" customHeight="1" x14ac:dyDescent="0.3">
      <c r="B238" s="120">
        <v>36938</v>
      </c>
      <c r="C238" s="118">
        <v>3268.95</v>
      </c>
    </row>
    <row r="239" spans="2:3" ht="15" customHeight="1" x14ac:dyDescent="0.3">
      <c r="B239" s="120">
        <v>36939</v>
      </c>
      <c r="C239" s="118">
        <v>3308.64</v>
      </c>
    </row>
    <row r="240" spans="2:3" ht="15" customHeight="1" x14ac:dyDescent="0.3">
      <c r="B240" s="120">
        <v>36940</v>
      </c>
      <c r="C240" s="118">
        <v>3328.23</v>
      </c>
    </row>
    <row r="241" spans="2:3" ht="15" customHeight="1" x14ac:dyDescent="0.3">
      <c r="B241" s="120">
        <v>36941</v>
      </c>
      <c r="C241" s="118">
        <v>3249.9</v>
      </c>
    </row>
    <row r="242" spans="2:3" ht="15" customHeight="1" x14ac:dyDescent="0.3">
      <c r="B242" s="120">
        <v>36944</v>
      </c>
      <c r="C242" s="118">
        <v>3180.74</v>
      </c>
    </row>
    <row r="243" spans="2:3" ht="15" customHeight="1" x14ac:dyDescent="0.3">
      <c r="B243" s="120">
        <v>36945</v>
      </c>
      <c r="C243" s="118">
        <v>3194.5</v>
      </c>
    </row>
    <row r="244" spans="2:3" ht="15" customHeight="1" x14ac:dyDescent="0.3">
      <c r="B244" s="120">
        <v>36946</v>
      </c>
      <c r="C244" s="118">
        <v>3159.53</v>
      </c>
    </row>
    <row r="245" spans="2:3" ht="15" customHeight="1" x14ac:dyDescent="0.3">
      <c r="B245" s="120">
        <v>36947</v>
      </c>
      <c r="C245" s="118">
        <v>3057.16</v>
      </c>
    </row>
    <row r="246" spans="2:3" ht="15" customHeight="1" x14ac:dyDescent="0.3">
      <c r="B246" s="120">
        <v>36948</v>
      </c>
      <c r="C246" s="118">
        <v>3092.93</v>
      </c>
    </row>
    <row r="247" spans="2:3" ht="15" customHeight="1" x14ac:dyDescent="0.3">
      <c r="B247" s="120">
        <v>36951</v>
      </c>
      <c r="C247" s="118">
        <v>3146.14</v>
      </c>
    </row>
    <row r="248" spans="2:3" ht="15" customHeight="1" x14ac:dyDescent="0.3">
      <c r="B248" s="120">
        <v>36952</v>
      </c>
      <c r="C248" s="118">
        <v>3094.53</v>
      </c>
    </row>
    <row r="249" spans="2:3" ht="15" customHeight="1" x14ac:dyDescent="0.3">
      <c r="B249" s="120">
        <v>36953</v>
      </c>
      <c r="C249" s="118">
        <v>3005</v>
      </c>
    </row>
    <row r="250" spans="2:3" ht="15" customHeight="1" x14ac:dyDescent="0.3">
      <c r="B250" s="120">
        <v>36954</v>
      </c>
      <c r="C250" s="118">
        <v>2977.57</v>
      </c>
    </row>
    <row r="251" spans="2:3" ht="15" customHeight="1" x14ac:dyDescent="0.3">
      <c r="B251" s="120">
        <v>36955</v>
      </c>
      <c r="C251" s="118">
        <v>3000.46</v>
      </c>
    </row>
    <row r="252" spans="2:3" ht="15" customHeight="1" x14ac:dyDescent="0.3">
      <c r="B252" s="120">
        <v>36958</v>
      </c>
      <c r="C252" s="118">
        <v>2951.95</v>
      </c>
    </row>
    <row r="253" spans="2:3" ht="15" customHeight="1" x14ac:dyDescent="0.3">
      <c r="B253" s="120">
        <v>36959</v>
      </c>
      <c r="C253" s="118">
        <v>3062.85</v>
      </c>
    </row>
    <row r="254" spans="2:3" ht="15" customHeight="1" x14ac:dyDescent="0.3">
      <c r="B254" s="120">
        <v>36960</v>
      </c>
      <c r="C254" s="118">
        <v>3057.64</v>
      </c>
    </row>
    <row r="255" spans="2:3" ht="15" customHeight="1" x14ac:dyDescent="0.3">
      <c r="B255" s="120">
        <v>36961</v>
      </c>
      <c r="C255" s="118">
        <v>3113.59</v>
      </c>
    </row>
    <row r="256" spans="2:3" ht="15" customHeight="1" x14ac:dyDescent="0.3">
      <c r="B256" s="120">
        <v>36962</v>
      </c>
      <c r="C256" s="118">
        <v>3089.49</v>
      </c>
    </row>
    <row r="257" spans="2:3" ht="15" customHeight="1" x14ac:dyDescent="0.3">
      <c r="B257" s="120">
        <v>36965</v>
      </c>
      <c r="C257" s="118">
        <v>3081.68</v>
      </c>
    </row>
    <row r="258" spans="2:3" ht="15" customHeight="1" x14ac:dyDescent="0.3">
      <c r="B258" s="120">
        <v>36966</v>
      </c>
      <c r="C258" s="118">
        <v>3091.86</v>
      </c>
    </row>
    <row r="259" spans="2:3" ht="15" customHeight="1" x14ac:dyDescent="0.3">
      <c r="B259" s="120">
        <v>36967</v>
      </c>
      <c r="C259" s="118">
        <v>3135.73</v>
      </c>
    </row>
    <row r="260" spans="2:3" ht="15" customHeight="1" x14ac:dyDescent="0.3">
      <c r="B260" s="120">
        <v>36968</v>
      </c>
      <c r="C260" s="118">
        <v>3027.99</v>
      </c>
    </row>
    <row r="261" spans="2:3" ht="15" customHeight="1" x14ac:dyDescent="0.3">
      <c r="B261" s="120">
        <v>36969</v>
      </c>
      <c r="C261" s="118">
        <v>3074.96</v>
      </c>
    </row>
  </sheetData>
  <phoneticPr fontId="36" type="noConversion"/>
  <pageMargins left="0.75" right="0.75" top="1" bottom="1" header="0.5" footer="0.5"/>
  <pageSetup paperSize="9" scale="55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PresentationFormat/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Dashboard 1</vt:lpstr>
      <vt:lpstr>Dashboard 2</vt:lpstr>
      <vt:lpstr>Chart</vt:lpstr>
      <vt:lpstr>Chart!Print_Area</vt:lpstr>
      <vt:lpstr>'Dashboard 1'!Print_Area</vt:lpstr>
      <vt:lpstr>'Dashboard 2'!Print_Area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Tim Vipond</dc:creator>
  <cp:keywords/>
  <dc:description/>
  <cp:lastModifiedBy>Tim Vipond</cp:lastModifiedBy>
  <cp:revision/>
  <cp:lastPrinted>2025-09-21T17:26:21Z</cp:lastPrinted>
  <dcterms:created xsi:type="dcterms:W3CDTF">1899-12-30T05:00:00Z</dcterms:created>
  <dcterms:modified xsi:type="dcterms:W3CDTF">2025-09-21T17:37:50Z</dcterms:modified>
  <cp:category/>
  <cp:contentStatus/>
  <dc:language/>
  <cp:version/>
</cp:coreProperties>
</file>